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dj761\Downloads\"/>
    </mc:Choice>
  </mc:AlternateContent>
  <xr:revisionPtr revIDLastSave="0" documentId="13_ncr:1_{806BA06B-1E5E-4B5B-8B1E-1591336845C6}" xr6:coauthVersionLast="47" xr6:coauthVersionMax="47" xr10:uidLastSave="{00000000-0000-0000-0000-000000000000}"/>
  <bookViews>
    <workbookView xWindow="86280" yWindow="-120" windowWidth="29040" windowHeight="15990" xr2:uid="{F5F59164-0D7F-4106-9B8A-4A449CA7AE19}"/>
  </bookViews>
  <sheets>
    <sheet name="Dashboard" sheetId="8" r:id="rId1"/>
    <sheet name="Turnover" sheetId="6" r:id="rId2"/>
    <sheet name="Headcount" sheetId="5" r:id="rId3"/>
    <sheet name="Tenure" sheetId="7" r:id="rId4"/>
    <sheet name="employees_model" sheetId="4" r:id="rId5"/>
    <sheet name="employees_raw" sheetId="3" r:id="rId6"/>
  </sheets>
  <definedNames>
    <definedName name="ExternalData_1" localSheetId="4" hidden="1">employees_model!$A$1:$O$101</definedName>
    <definedName name="Slicer_Department">#N/A</definedName>
    <definedName name="Slicer_EmploymentType">#N/A</definedName>
    <definedName name="Slicer_TerminationReason">#N/A</definedName>
  </definedNames>
  <calcPr calcId="191029"/>
  <pivotCaches>
    <pivotCache cacheId="1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A233B1-8B20-4CEF-A421-EFBE7E3AE676}" keepAlive="1" name="Query - employees_model" description="Connection to the 'employees_model' query in the workbook." type="5" refreshedVersion="8" background="1" saveData="1">
    <dbPr connection="Provider=Microsoft.Mashup.OleDb.1;Data Source=$Workbook$;Location=employees_model;Extended Properties=&quot;&quot;" command="SELECT * FROM [employees_model]"/>
  </connection>
</connections>
</file>

<file path=xl/sharedStrings.xml><?xml version="1.0" encoding="utf-8"?>
<sst xmlns="http://schemas.openxmlformats.org/spreadsheetml/2006/main" count="1427" uniqueCount="94">
  <si>
    <t>EmployeeID</t>
  </si>
  <si>
    <t>FirstName</t>
  </si>
  <si>
    <t>LastName</t>
  </si>
  <si>
    <t>Department</t>
  </si>
  <si>
    <t>JobTitle</t>
  </si>
  <si>
    <t>Location</t>
  </si>
  <si>
    <t>HireDate</t>
  </si>
  <si>
    <t>TermDate</t>
  </si>
  <si>
    <t>EmploymentType</t>
  </si>
  <si>
    <t>FTE</t>
  </si>
  <si>
    <t>TerminationReason</t>
  </si>
  <si>
    <t>Hayden</t>
  </si>
  <si>
    <t>Garcia</t>
  </si>
  <si>
    <t>Nursing</t>
  </si>
  <si>
    <t>LPN</t>
  </si>
  <si>
    <t>Renton Clinic</t>
  </si>
  <si>
    <t>Full-time</t>
  </si>
  <si>
    <t>Voluntary</t>
  </si>
  <si>
    <t>Taylor</t>
  </si>
  <si>
    <t>Young</t>
  </si>
  <si>
    <t>Medical Assistants</t>
  </si>
  <si>
    <t>MA II</t>
  </si>
  <si>
    <t>Involuntary</t>
  </si>
  <si>
    <t>Casey</t>
  </si>
  <si>
    <t>Patel</t>
  </si>
  <si>
    <t>Admin</t>
  </si>
  <si>
    <t>HR Generalist</t>
  </si>
  <si>
    <t>Bellevue Clinic</t>
  </si>
  <si>
    <t>Jordan</t>
  </si>
  <si>
    <t>Davis</t>
  </si>
  <si>
    <t>Behavioral Health</t>
  </si>
  <si>
    <t>Behavioral Health Specialist</t>
  </si>
  <si>
    <t>Martinez</t>
  </si>
  <si>
    <t>Anderson</t>
  </si>
  <si>
    <t>Lead Medical Assistant</t>
  </si>
  <si>
    <t>Seattle Clinic</t>
  </si>
  <si>
    <t>Part-time</t>
  </si>
  <si>
    <t>Riley</t>
  </si>
  <si>
    <t>Per diem</t>
  </si>
  <si>
    <t>Jesse</t>
  </si>
  <si>
    <t>MA I</t>
  </si>
  <si>
    <t>IT / Analytics</t>
  </si>
  <si>
    <t>IT Support Specialist</t>
  </si>
  <si>
    <t>Tacoma Clinic</t>
  </si>
  <si>
    <t>Pat</t>
  </si>
  <si>
    <t>Wilson</t>
  </si>
  <si>
    <t>Case Manager</t>
  </si>
  <si>
    <t>Quinn</t>
  </si>
  <si>
    <t>HRIS Analyst</t>
  </si>
  <si>
    <t>Retirement</t>
  </si>
  <si>
    <t>Devin</t>
  </si>
  <si>
    <t>Therapist</t>
  </si>
  <si>
    <t>Brown</t>
  </si>
  <si>
    <t>RN</t>
  </si>
  <si>
    <t>Lee</t>
  </si>
  <si>
    <t>BI Developer</t>
  </si>
  <si>
    <t>Jamie</t>
  </si>
  <si>
    <t>Lopez</t>
  </si>
  <si>
    <t>Morgan</t>
  </si>
  <si>
    <t>Nguyen</t>
  </si>
  <si>
    <t>Charge Nurse</t>
  </si>
  <si>
    <t>Front Desk Coordinator</t>
  </si>
  <si>
    <t>Sam</t>
  </si>
  <si>
    <t>Johnson</t>
  </si>
  <si>
    <t>Psychiatric ARNP</t>
  </si>
  <si>
    <t>CNA</t>
  </si>
  <si>
    <t>Clark</t>
  </si>
  <si>
    <t>Office Assistant</t>
  </si>
  <si>
    <t>Alex</t>
  </si>
  <si>
    <t>Smith</t>
  </si>
  <si>
    <t>Data Analyst</t>
  </si>
  <si>
    <t>Chris</t>
  </si>
  <si>
    <t>Nurse Supervisor</t>
  </si>
  <si>
    <t>Clinic Administrator</t>
  </si>
  <si>
    <t>IsActive</t>
  </si>
  <si>
    <t>HireMonth</t>
  </si>
  <si>
    <t>TermMonth</t>
  </si>
  <si>
    <t>TenureDays</t>
  </si>
  <si>
    <t>No</t>
  </si>
  <si>
    <t>Yes</t>
  </si>
  <si>
    <t>HeadCountFlag</t>
  </si>
  <si>
    <t>Row Labels</t>
  </si>
  <si>
    <t>Grand Total</t>
  </si>
  <si>
    <t>(All)</t>
  </si>
  <si>
    <t>Headcount</t>
  </si>
  <si>
    <t>2022</t>
  </si>
  <si>
    <t>2023</t>
  </si>
  <si>
    <t>2024</t>
  </si>
  <si>
    <t>2025</t>
  </si>
  <si>
    <t>Count of EmployeeID</t>
  </si>
  <si>
    <t>Date</t>
  </si>
  <si>
    <t>Year Total</t>
  </si>
  <si>
    <t>Average of TenureDays</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</si>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</sst>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4" fontId="0" fillId="0" borderId="0" xfId="0" applyNumberFormat="1"/>
    <xf numFmtId="164" fontId="1" fillId="0" borderId="0" xfId="0" applyNumberFormat="1" applyFont="1"/>
    <xf numFmtId="164" fontId="0" fillId="0" borderId="0" xfId="0" applyNumberForma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xf numFmtId="17" fontId="0" fillId="0" borderId="0" xfId="0" applyNumberFormat="1"/>
  </cellXfs>
  <cellStyles count="1">
    <cellStyle name="Normal" xfId="0" builtinId="0"/>
  </cellStyles>
  <dxfs count="27">
    <dxf>
      <numFmt numFmtId="1" formatCode="0"/>
    </dxf>
    <dxf>
      <numFmt numFmtId="1" formatCode="0"/>
    </dxf>
    <dxf>
      <numFmt numFmtId="22" formatCode="mmm\-yy"/>
    </dxf>
    <dxf>
      <numFmt numFmtId="22" formatCode="mmm\-yy"/>
    </dxf>
    <dxf>
      <numFmt numFmtId="22" formatCode="mmm\-yy"/>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[people_analytics_turnover_demo.xlsx]Headcount!PivotTable1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Active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Headcount!$B$4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Headcount!$A$5:$A$10</c:f>
              <c:strCache>
                <c:ptCount val="5"/>
                <c:pt idx="0">
                  <c:v>Admin</c:v>
                </c:pt>
                <c:pt idx="1">
                  <c:v>Behavioral Health</c:v>
                </c:pt>
                <c:pt idx="2">
                  <c:v>IT / Analytics</c:v>
                </c:pt>
                <c:pt idx="3">
                  <c:v>Medical Assistants</c:v>
                </c:pt>
                <c:pt idx="4">
                  <c:v>Nursing</c:v>
                </c:pt>
              </c:strCache>
            </c:strRef>
          </c:cat>
          <c:val>
            <c:numRef>
              <c:f>Headcount!$B$5:$B$10</c:f>
              <c:numCache>
                <c:formatCode>0</c:formatCode>
                <c:ptCount val="5"/>
                <c:pt idx="0">
                  <c:v>9</c:v>
                </c:pt>
                <c:pt idx="1">
                  <c:v>13</c:v>
                </c:pt>
                <c:pt idx="2">
                  <c:v>10</c:v>
                </c:pt>
                <c:pt idx="3">
                  <c:v>21</c:v>
                </c:pt>
                <c:pt idx="4">
                  <c:v>14</c:v>
                </c:pt>
              </c:numCache>
            </c:numRef>
          </c:val>
          <c:extLst>
            <c:ext xmlns:c16="http://schemas.microsoft.com/office/drawing/2014/chart" uri="{C3380CC4-5D6E-409C-BE32-E72D297353CC}">
              <c16:uniqueId val="{00000000-61F2-44E7-96DE-B95258D10038}"/>
            </c:ext>
          </c:extLst>
        </c:ser>
        <c:dLbls>
          <c:showLegendKey val="0"/>
          <c:showVal val="0"/>
          <c:showCatName val="0"/>
          <c:showSerName val="0"/>
          <c:showPercent val="0"/>
          <c:showBubbleSize val="0"/>
        </c:dLbls>
        <c:gapWidth val="100"/>
        <c:overlap val="-24"/>
        <c:axId val="48985616"/>
        <c:axId val="48987536"/>
      </c:barChart>
      <c:catAx>
        <c:axId val="489856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87536"/>
        <c:crosses val="autoZero"/>
        <c:auto val="1"/>
        <c:lblAlgn val="ctr"/>
        <c:lblOffset val="100"/>
        <c:noMultiLvlLbl val="0"/>
      </c:catAx>
      <c:valAx>
        <c:axId val="489875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Active Employees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856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[people_analytics_turnover_demo.xlsx]Turnover!PivotTable2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Terminations per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Turnover!$B$4:$B$5</c:f>
              <c:strCache>
                <c:ptCount val="1"/>
                <c:pt idx="0">
                  <c:v>Admin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Turnover!$B$6:$B$10</c:f>
              <c:numCache>
                <c:formatCode>General</c:formatCode>
                <c:ptCount val="4"/>
                <c:pt idx="0">
                  <c:v>0</c:v>
                </c:pt>
                <c:pt idx="1">
                  <c:v>1</c:v>
                </c:pt>
                <c:pt idx="2">
                  <c:v>3</c:v>
                </c:pt>
                <c:pt idx="3">
                  <c:v>2</c:v>
                </c:pt>
              </c:numCache>
            </c:numRef>
          </c:val>
          <c:smooth val="0"/>
          <c:extLst>
            <c:ext xmlns:c16="http://schemas.microsoft.com/office/drawing/2014/chart" uri="{C3380CC4-5D6E-409C-BE32-E72D297353CC}">
              <c16:uniqueId val="{00000000-5E4C-4A3E-8AAA-4C206261E8A7}"/>
            </c:ext>
          </c:extLst>
        </c:ser>
        <c:ser>
          <c:idx val="1"/>
          <c:order val="1"/>
          <c:tx>
            <c:strRef>
              <c:f>Turnover!$C$4:$C$5</c:f>
              <c:strCache>
                <c:ptCount val="1"/>
                <c:pt idx="0">
                  <c:v>Behavioral Health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Turnover!$C$6:$C$10</c:f>
              <c:numCache>
                <c:formatCode>General</c:formatCode>
                <c:ptCount val="4"/>
                <c:pt idx="0">
                  <c:v>0</c:v>
                </c:pt>
                <c:pt idx="1">
                  <c:v>2</c:v>
                </c:pt>
                <c:pt idx="2">
                  <c:v>1</c:v>
                </c:pt>
                <c:pt idx="3">
                  <c:v>6</c:v>
                </c:pt>
              </c:numCache>
            </c:numRef>
          </c:val>
          <c:smooth val="0"/>
          <c:extLst>
            <c:ext xmlns:c16="http://schemas.microsoft.com/office/drawing/2014/chart" uri="{C3380CC4-5D6E-409C-BE32-E72D297353CC}">
              <c16:uniqueId val="{00000013-5E4C-4A3E-8AAA-4C206261E8A7}"/>
            </c:ext>
          </c:extLst>
        </c:ser>
        <c:ser>
          <c:idx val="2"/>
          <c:order val="2"/>
          <c:tx>
            <c:strRef>
              <c:f>Turnover!$D$4:$D$5</c:f>
              <c:strCache>
                <c:ptCount val="1"/>
                <c:pt idx="0">
                  <c:v>IT / Analytics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Turnover!$D$6:$D$10</c:f>
              <c:numCache>
                <c:formatCode>General</c:formatCode>
                <c:ptCount val="4"/>
                <c:pt idx="0">
                  <c:v>0</c:v>
                </c:pt>
                <c:pt idx="1">
                  <c:v>2</c:v>
                </c:pt>
                <c:pt idx="2">
                  <c:v>1</c:v>
                </c:pt>
                <c:pt idx="3">
                  <c:v>0</c:v>
                </c:pt>
              </c:numCache>
            </c:numRef>
          </c:val>
          <c:smooth val="0"/>
          <c:extLst>
            <c:ext xmlns:c16="http://schemas.microsoft.com/office/drawing/2014/chart" uri="{C3380CC4-5D6E-409C-BE32-E72D297353CC}">
              <c16:uniqueId val="{00000014-5E4C-4A3E-8AAA-4C206261E8A7}"/>
            </c:ext>
          </c:extLst>
        </c:ser>
        <c:ser>
          <c:idx val="3"/>
          <c:order val="3"/>
          <c:tx>
            <c:strRef>
              <c:f>Turnover!$E$4:$E$5</c:f>
              <c:strCache>
                <c:ptCount val="1"/>
                <c:pt idx="0">
                  <c:v>Medical Assistants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Turnover!$E$6:$E$10</c:f>
              <c:numCache>
                <c:formatCode>General</c:formatCode>
                <c:ptCount val="4"/>
                <c:pt idx="0">
                  <c:v>0</c:v>
                </c:pt>
                <c:pt idx="1">
                  <c:v>2</c:v>
                </c:pt>
                <c:pt idx="2">
                  <c:v>4</c:v>
                </c:pt>
                <c:pt idx="3">
                  <c:v>3</c:v>
                </c:pt>
              </c:numCache>
            </c:numRef>
          </c:val>
          <c:smooth val="0"/>
          <c:extLst>
            <c:ext xmlns:c16="http://schemas.microsoft.com/office/drawing/2014/chart" uri="{C3380CC4-5D6E-409C-BE32-E72D297353CC}">
              <c16:uniqueId val="{00000015-5E4C-4A3E-8AAA-4C206261E8A7}"/>
            </c:ext>
          </c:extLst>
        </c:ser>
        <c:ser>
          <c:idx val="4"/>
          <c:order val="4"/>
          <c:tx>
            <c:strRef>
              <c:f>Turnover!$F$4:$F$5</c:f>
              <c:strCache>
                <c:ptCount val="1"/>
                <c:pt idx="0">
                  <c:v>Nursing</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Turnover!$F$6:$F$10</c:f>
              <c:numCache>
                <c:formatCode>General</c:formatCode>
                <c:ptCount val="4"/>
                <c:pt idx="0">
                  <c:v>2</c:v>
                </c:pt>
                <c:pt idx="1">
                  <c:v>0</c:v>
                </c:pt>
                <c:pt idx="2">
                  <c:v>1</c:v>
                </c:pt>
                <c:pt idx="3">
                  <c:v>3</c:v>
                </c:pt>
              </c:numCache>
            </c:numRef>
          </c:val>
          <c:smooth val="0"/>
          <c:extLst>
            <c:ext xmlns:c16="http://schemas.microsoft.com/office/drawing/2014/chart" uri="{C3380CC4-5D6E-409C-BE32-E72D297353CC}">
              <c16:uniqueId val="{00000016-5E4C-4A3E-8AAA-4C206261E8A7}"/>
            </c:ext>
          </c:extLst>
        </c:ser>
        <c:dLbls>
          <c:showLegendKey val="0"/>
          <c:showVal val="0"/>
          <c:showCatName val="0"/>
          <c:showSerName val="0"/>
          <c:showPercent val="0"/>
          <c:showBubbleSize val="0"/>
        </c:dLbls>
        <c:marker val="1"/>
        <c:smooth val="0"/>
        <c:axId val="40755488"/>
        <c:axId val="40756928"/>
      </c:lineChart>
      <c:catAx>
        <c:axId val="407554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56928"/>
        <c:crosses val="autoZero"/>
        <c:auto val="1"/>
        <c:lblAlgn val="ctr"/>
        <c:lblOffset val="100"/>
        <c:noMultiLvlLbl val="0"/>
      </c:catAx>
      <c:valAx>
        <c:axId val="407569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 ofTerminations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[people_analytics_turnover_demo.xlsx]Tenure!PivotTable3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Tenure per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Tenure!$A$4:$A$9</c:f>
              <c:strCache>
                <c:ptCount val="5"/>
                <c:pt idx="0">
                  <c:v>Admin</c:v>
                </c:pt>
                <c:pt idx="1">
                  <c:v>Behavioral Health</c:v>
                </c:pt>
                <c:pt idx="2">
                  <c:v>IT / Analytics</c:v>
                </c:pt>
                <c:pt idx="3">
                  <c:v>Medical Assistants</c:v>
                </c:pt>
                <c:pt idx="4">
                  <c:v>Nursing</c:v>
                </c:pt>
              </c:strCache>
            </c:strRef>
          </c:cat>
          <c:val>
            <c:numRef>
              <c:f>Tenure!$B$4:$B$9</c:f>
              <c:numCache>
                <c:formatCode>General</c:formatCode>
                <c:ptCount val="5"/>
                <c:pt idx="0">
                  <c:v>574.20000000000005</c:v>
                </c:pt>
                <c:pt idx="1">
                  <c:v>771.5</c:v>
                </c:pt>
                <c:pt idx="2">
                  <c:v>543.76923076923072</c:v>
                </c:pt>
                <c:pt idx="3">
                  <c:v>526.5</c:v>
                </c:pt>
                <c:pt idx="4">
                  <c:v>742.55</c:v>
                </c:pt>
              </c:numCache>
            </c:numRef>
          </c:val>
          <c:extLst>
            <c:ext xmlns:c16="http://schemas.microsoft.com/office/drawing/2014/chart" uri="{C3380CC4-5D6E-409C-BE32-E72D297353CC}">
              <c16:uniqueId val="{00000000-8F9A-4FA1-91C9-43A93228CD99}"/>
            </c:ext>
          </c:extLst>
        </c:ser>
        <c:dLbls>
          <c:dLblPos val="outEnd"/>
          <c:showLegendKey val="0"/>
          <c:showVal val="1"/>
          <c:showCatName val="0"/>
          <c:showSerName val="0"/>
          <c:showPercent val="0"/>
          <c:showBubbleSize val="0"/>
        </c:dLbls>
        <c:gapWidth val="100"/>
        <c:overlap val="-24"/>
        <c:axId val="123687632"/>
        <c:axId val="123672272"/>
      </c:barChart>
      <c:catAx>
        <c:axId val="123687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72272"/>
        <c:crosses val="autoZero"/>
        <c:auto val="1"/>
        <c:lblAlgn val="ctr"/>
        <c:lblOffset val="100"/>
        <c:noMultiLvlLbl val="0"/>
      </c:catAx>
      <c:valAx>
        <c:axId val="1236722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days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[people_analytics_turnover_demo.xlsx]Turnover!PivotTable2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Terminations per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Turnover!$B$4:$B$5</c:f>
              <c:strCache>
                <c:ptCount val="1"/>
                <c:pt idx="0">
                  <c:v>Admin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Turnover!$B$6:$B$10</c:f>
              <c:numCache>
                <c:formatCode>General</c:formatCode>
                <c:ptCount val="4"/>
                <c:pt idx="0">
                  <c:v>0</c:v>
                </c:pt>
                <c:pt idx="1">
                  <c:v>1</c:v>
                </c:pt>
                <c:pt idx="2">
                  <c:v>3</c:v>
                </c:pt>
                <c:pt idx="3">
                  <c:v>2</c:v>
                </c:pt>
              </c:numCache>
            </c:numRef>
          </c:val>
          <c:smooth val="0"/>
          <c:extLst>
            <c:ext xmlns:c16="http://schemas.microsoft.com/office/drawing/2014/chart" uri="{C3380CC4-5D6E-409C-BE32-E72D297353CC}">
              <c16:uniqueId val="{00000000-C499-4D67-B9BC-E4D2C1C0223A}"/>
            </c:ext>
          </c:extLst>
        </c:ser>
        <c:ser>
          <c:idx val="1"/>
          <c:order val="1"/>
          <c:tx>
            <c:strRef>
              <c:f>Turnover!$C$4:$C$5</c:f>
              <c:strCache>
                <c:ptCount val="1"/>
                <c:pt idx="0">
                  <c:v>Behavioral Health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Turnover!$C$6:$C$10</c:f>
              <c:numCache>
                <c:formatCode>General</c:formatCode>
                <c:ptCount val="4"/>
                <c:pt idx="0">
                  <c:v>0</c:v>
                </c:pt>
                <c:pt idx="1">
                  <c:v>2</c:v>
                </c:pt>
                <c:pt idx="2">
                  <c:v>1</c:v>
                </c:pt>
                <c:pt idx="3">
                  <c:v>6</c:v>
                </c:pt>
              </c:numCache>
            </c:numRef>
          </c:val>
          <c:smooth val="0"/>
          <c:extLst>
            <c:ext xmlns:c16="http://schemas.microsoft.com/office/drawing/2014/chart" uri="{C3380CC4-5D6E-409C-BE32-E72D297353CC}">
              <c16:uniqueId val="{00000013-C499-4D67-B9BC-E4D2C1C0223A}"/>
            </c:ext>
          </c:extLst>
        </c:ser>
        <c:ser>
          <c:idx val="2"/>
          <c:order val="2"/>
          <c:tx>
            <c:strRef>
              <c:f>Turnover!$D$4:$D$5</c:f>
              <c:strCache>
                <c:ptCount val="1"/>
                <c:pt idx="0">
                  <c:v>IT / Analytics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Turnover!$D$6:$D$10</c:f>
              <c:numCache>
                <c:formatCode>General</c:formatCode>
                <c:ptCount val="4"/>
                <c:pt idx="0">
                  <c:v>0</c:v>
                </c:pt>
                <c:pt idx="1">
                  <c:v>2</c:v>
                </c:pt>
                <c:pt idx="2">
                  <c:v>1</c:v>
                </c:pt>
                <c:pt idx="3">
                  <c:v>0</c:v>
                </c:pt>
              </c:numCache>
            </c:numRef>
          </c:val>
          <c:smooth val="0"/>
          <c:extLst>
            <c:ext xmlns:c16="http://schemas.microsoft.com/office/drawing/2014/chart" uri="{C3380CC4-5D6E-409C-BE32-E72D297353CC}">
              <c16:uniqueId val="{00000014-C499-4D67-B9BC-E4D2C1C0223A}"/>
            </c:ext>
          </c:extLst>
        </c:ser>
        <c:ser>
          <c:idx val="3"/>
          <c:order val="3"/>
          <c:tx>
            <c:strRef>
              <c:f>Turnover!$E$4:$E$5</c:f>
              <c:strCache>
                <c:ptCount val="1"/>
                <c:pt idx="0">
                  <c:v>Medical Assistants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Turnover!$E$6:$E$10</c:f>
              <c:numCache>
                <c:formatCode>General</c:formatCode>
                <c:ptCount val="4"/>
                <c:pt idx="0">
                  <c:v>0</c:v>
                </c:pt>
                <c:pt idx="1">
                  <c:v>2</c:v>
                </c:pt>
                <c:pt idx="2">
                  <c:v>4</c:v>
                </c:pt>
                <c:pt idx="3">
                  <c:v>3</c:v>
                </c:pt>
              </c:numCache>
            </c:numRef>
          </c:val>
          <c:smooth val="0"/>
          <c:extLst>
            <c:ext xmlns:c16="http://schemas.microsoft.com/office/drawing/2014/chart" uri="{C3380CC4-5D6E-409C-BE32-E72D297353CC}">
              <c16:uniqueId val="{00000015-C499-4D67-B9BC-E4D2C1C0223A}"/>
            </c:ext>
          </c:extLst>
        </c:ser>
        <c:ser>
          <c:idx val="4"/>
          <c:order val="4"/>
          <c:tx>
            <c:strRef>
              <c:f>Turnover!$F$4:$F$5</c:f>
              <c:strCache>
                <c:ptCount val="1"/>
                <c:pt idx="0">
                  <c:v>Nursing</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Turnover!$A$6:$A$10</c:f>
              <c:strCache>
                <c:ptCount val="4"/>
                <c:pt idx="0">
                  <c:v>2022</c:v>
                </c:pt>
                <c:pt idx="1">
                  <c:v>2023</c:v>
                </c:pt>
                <c:pt idx="2">
                  <c:v>2024</c:v>
                </c:pt>
                <c:pt idx="3">
                  <c:v>2025</c:v>
                </c:pt>
              </c:strCache>
            </c:strRef>
          </c:cat>
          <c:val>
            <c:numRef>
              <c:f>Turnover!$F$6:$F$10</c:f>
              <c:numCache>
                <c:formatCode>General</c:formatCode>
                <c:ptCount val="4"/>
                <c:pt idx="0">
                  <c:v>2</c:v>
                </c:pt>
                <c:pt idx="1">
                  <c:v>0</c:v>
                </c:pt>
                <c:pt idx="2">
                  <c:v>1</c:v>
                </c:pt>
                <c:pt idx="3">
                  <c:v>3</c:v>
                </c:pt>
              </c:numCache>
            </c:numRef>
          </c:val>
          <c:smooth val="0"/>
          <c:extLst>
            <c:ext xmlns:c16="http://schemas.microsoft.com/office/drawing/2014/chart" uri="{C3380CC4-5D6E-409C-BE32-E72D297353CC}">
              <c16:uniqueId val="{00000016-C499-4D67-B9BC-E4D2C1C0223A}"/>
            </c:ext>
          </c:extLst>
        </c:ser>
        <c:dLbls>
          <c:showLegendKey val="0"/>
          <c:showVal val="0"/>
          <c:showCatName val="0"/>
          <c:showSerName val="0"/>
          <c:showPercent val="0"/>
          <c:showBubbleSize val="0"/>
        </c:dLbls>
        <c:marker val="1"/>
        <c:smooth val="0"/>
        <c:axId val="40755488"/>
        <c:axId val="40756928"/>
      </c:lineChart>
      <c:catAx>
        <c:axId val="407554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56928"/>
        <c:crosses val="autoZero"/>
        <c:auto val="1"/>
        <c:lblAlgn val="ctr"/>
        <c:lblOffset val="100"/>
        <c:noMultiLvlLbl val="0"/>
      </c:catAx>
      <c:valAx>
        <c:axId val="407569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 ofTerminations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[people_analytics_turnover_demo.xlsx]Headcount!PivotTable1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Active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Headcount!$B$4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Headcount!$A$5:$A$10</c:f>
              <c:strCache>
                <c:ptCount val="5"/>
                <c:pt idx="0">
                  <c:v>Admin</c:v>
                </c:pt>
                <c:pt idx="1">
                  <c:v>Behavioral Health</c:v>
                </c:pt>
                <c:pt idx="2">
                  <c:v>IT / Analytics</c:v>
                </c:pt>
                <c:pt idx="3">
                  <c:v>Medical Assistants</c:v>
                </c:pt>
                <c:pt idx="4">
                  <c:v>Nursing</c:v>
                </c:pt>
              </c:strCache>
            </c:strRef>
          </c:cat>
          <c:val>
            <c:numRef>
              <c:f>Headcount!$B$5:$B$10</c:f>
              <c:numCache>
                <c:formatCode>0</c:formatCode>
                <c:ptCount val="5"/>
                <c:pt idx="0">
                  <c:v>9</c:v>
                </c:pt>
                <c:pt idx="1">
                  <c:v>13</c:v>
                </c:pt>
                <c:pt idx="2">
                  <c:v>10</c:v>
                </c:pt>
                <c:pt idx="3">
                  <c:v>21</c:v>
                </c:pt>
                <c:pt idx="4">
                  <c:v>14</c:v>
                </c:pt>
              </c:numCache>
            </c:numRef>
          </c:val>
          <c:extLst>
            <c:ext xmlns:c16="http://schemas.microsoft.com/office/drawing/2014/chart" uri="{C3380CC4-5D6E-409C-BE32-E72D297353CC}">
              <c16:uniqueId val="{00000000-FAEE-44B7-91BA-C9DD8F833650}"/>
            </c:ext>
          </c:extLst>
        </c:ser>
        <c:dLbls>
          <c:showLegendKey val="0"/>
          <c:showVal val="0"/>
          <c:showCatName val="0"/>
          <c:showSerName val="0"/>
          <c:showPercent val="0"/>
          <c:showBubbleSize val="0"/>
        </c:dLbls>
        <c:gapWidth val="100"/>
        <c:overlap val="-24"/>
        <c:axId val="48985616"/>
        <c:axId val="48987536"/>
      </c:barChart>
      <c:catAx>
        <c:axId val="489856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87536"/>
        <c:crosses val="autoZero"/>
        <c:auto val="1"/>
        <c:lblAlgn val="ctr"/>
        <c:lblOffset val="100"/>
        <c:noMultiLvlLbl val="0"/>
      </c:catAx>
      <c:valAx>
        <c:axId val="489875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Active Employees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856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[people_analytics_turnover_demo.xlsx]Tenure!PivotTable3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Tenure per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Tenure!$A$4:$A$9</c:f>
              <c:strCache>
                <c:ptCount val="5"/>
                <c:pt idx="0">
                  <c:v>Admin</c:v>
                </c:pt>
                <c:pt idx="1">
                  <c:v>Behavioral Health</c:v>
                </c:pt>
                <c:pt idx="2">
                  <c:v>IT / Analytics</c:v>
                </c:pt>
                <c:pt idx="3">
                  <c:v>Medical Assistants</c:v>
                </c:pt>
                <c:pt idx="4">
                  <c:v>Nursing</c:v>
                </c:pt>
              </c:strCache>
            </c:strRef>
          </c:cat>
          <c:val>
            <c:numRef>
              <c:f>Tenure!$B$4:$B$9</c:f>
              <c:numCache>
                <c:formatCode>General</c:formatCode>
                <c:ptCount val="5"/>
                <c:pt idx="0">
                  <c:v>574.20000000000005</c:v>
                </c:pt>
                <c:pt idx="1">
                  <c:v>771.5</c:v>
                </c:pt>
                <c:pt idx="2">
                  <c:v>543.76923076923072</c:v>
                </c:pt>
                <c:pt idx="3">
                  <c:v>526.5</c:v>
                </c:pt>
                <c:pt idx="4">
                  <c:v>742.55</c:v>
                </c:pt>
              </c:numCache>
            </c:numRef>
          </c:val>
          <c:extLst>
            <c:ext xmlns:c16="http://schemas.microsoft.com/office/drawing/2014/chart" uri="{C3380CC4-5D6E-409C-BE32-E72D297353CC}">
              <c16:uniqueId val="{00000000-761F-45DE-8BB1-84C89B9D1FC6}"/>
            </c:ext>
          </c:extLst>
        </c:ser>
        <c:dLbls>
          <c:dLblPos val="outEnd"/>
          <c:showLegendKey val="0"/>
          <c:showVal val="1"/>
          <c:showCatName val="0"/>
          <c:showSerName val="0"/>
          <c:showPercent val="0"/>
          <c:showBubbleSize val="0"/>
        </c:dLbls>
        <c:gapWidth val="100"/>
        <c:overlap val="-24"/>
        <c:axId val="123687632"/>
        <c:axId val="123672272"/>
      </c:barChart>
      <c:catAx>
        <c:axId val="123687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72272"/>
        <c:crosses val="autoZero"/>
        <c:auto val="1"/>
        <c:lblAlgn val="ctr"/>
        <c:lblOffset val="100"/>
        <c:noMultiLvlLbl val="0"/>
      </c:catAx>
      <c:valAx>
        <c:axId val="1236722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days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75293</xdr:colOff>
      <xdr:row>12</xdr:row>
      <xdr:rowOff>38100</xdr:rowOff>
    </xdr:from>
    <xdr:to>
      <xdr:col>8</xdr:col>
      <xdr:colOff>176893</xdr:colOff>
      <xdr:row>30</xdr:row>
      <xdr:rowOff>81643</xdr:rowOff>
    </xdr:to>
    <xdr:graphicFrame macro="">
      <xdr:nvGraphicFramePr>
        <xdr:cNvPr id="2" name="Chart 1">
          <a:extLst>
            <a:ext uri="{FF2B5EF4-FFF2-40B4-BE49-F238E27FC236}">
              <a16:creationId xmlns:a16="http://schemas.microsoft.com/office/drawing/2014/main" id="{94FF0E5D-13E4-48C9-BC31-344063B30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364672</xdr:colOff>
      <xdr:row>12</xdr:row>
      <xdr:rowOff>29480</xdr:rowOff>
    </xdr:from>
    <xdr:to>
      <xdr:col>16</xdr:col>
      <xdr:colOff>248103</xdr:colOff>
      <xdr:row>30</xdr:row>
      <xdr:rowOff>95248</xdr:rowOff>
    </xdr:to>
    <xdr:graphicFrame macro="">
      <xdr:nvGraphicFramePr>
        <xdr:cNvPr id="3" name="Chart 2">
          <a:extLst>
            <a:ext uri="{FF2B5EF4-FFF2-40B4-BE49-F238E27FC236}">
              <a16:creationId xmlns:a16="http://schemas.microsoft.com/office/drawing/2014/main" id="{B2250D5F-47BF-45C9-BA0A-89B90FF72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410936</xdr:colOff>
      <xdr:row>12</xdr:row>
      <xdr:rowOff>18143</xdr:rowOff>
    </xdr:from>
    <xdr:to>
      <xdr:col>25</xdr:col>
      <xdr:colOff>105682</xdr:colOff>
      <xdr:row>30</xdr:row>
      <xdr:rowOff>95249</xdr:rowOff>
    </xdr:to>
    <xdr:graphicFrame macro="">
      <xdr:nvGraphicFramePr>
        <xdr:cNvPr id="4" name="Chart 3">
          <a:extLst>
            <a:ext uri="{FF2B5EF4-FFF2-40B4-BE49-F238E27FC236}">
              <a16:creationId xmlns:a16="http://schemas.microsoft.com/office/drawing/2014/main" id="{FB0193E9-4D5C-4D87-A819-51F4C82D3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455839</xdr:colOff>
      <xdr:row>1</xdr:row>
      <xdr:rowOff>120196</xdr:rowOff>
    </xdr:from>
    <xdr:to>
      <xdr:col>18</xdr:col>
      <xdr:colOff>455838</xdr:colOff>
      <xdr:row>11</xdr:row>
      <xdr:rowOff>63046</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826CEFF1-A367-EFB8-F21A-28FF4F6A5F7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599839" y="313871"/>
              <a:ext cx="1828799"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583746</xdr:colOff>
      <xdr:row>2</xdr:row>
      <xdr:rowOff>32203</xdr:rowOff>
    </xdr:from>
    <xdr:to>
      <xdr:col>5</xdr:col>
      <xdr:colOff>583746</xdr:colOff>
      <xdr:row>9</xdr:row>
      <xdr:rowOff>108403</xdr:rowOff>
    </xdr:to>
    <mc:AlternateContent xmlns:mc="http://schemas.openxmlformats.org/markup-compatibility/2006">
      <mc:Choice xmlns:a14="http://schemas.microsoft.com/office/drawing/2010/main" Requires="a14">
        <xdr:graphicFrame macro="">
          <xdr:nvGraphicFramePr>
            <xdr:cNvPr id="7" name="EmploymentType">
              <a:extLst>
                <a:ext uri="{FF2B5EF4-FFF2-40B4-BE49-F238E27FC236}">
                  <a16:creationId xmlns:a16="http://schemas.microsoft.com/office/drawing/2014/main" id="{0F5F0DD4-8936-93F1-5E7A-DC6F3047D674}"/>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dr:sp macro="" textlink="">
          <xdr:nvSpPr>
            <xdr:cNvPr id="0" name=""/>
            <xdr:cNvSpPr>
              <a:spLocks noTextEdit="1"/>
            </xdr:cNvSpPr>
          </xdr:nvSpPr>
          <xdr:spPr>
            <a:xfrm>
              <a:off x="1799771" y="410028"/>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126547</xdr:colOff>
      <xdr:row>1</xdr:row>
      <xdr:rowOff>182336</xdr:rowOff>
    </xdr:from>
    <xdr:to>
      <xdr:col>12</xdr:col>
      <xdr:colOff>126547</xdr:colOff>
      <xdr:row>9</xdr:row>
      <xdr:rowOff>153761</xdr:rowOff>
    </xdr:to>
    <mc:AlternateContent xmlns:mc="http://schemas.openxmlformats.org/markup-compatibility/2006">
      <mc:Choice xmlns:a14="http://schemas.microsoft.com/office/drawing/2010/main" Requires="a14">
        <xdr:graphicFrame macro="">
          <xdr:nvGraphicFramePr>
            <xdr:cNvPr id="8" name="TerminationReason">
              <a:extLst>
                <a:ext uri="{FF2B5EF4-FFF2-40B4-BE49-F238E27FC236}">
                  <a16:creationId xmlns:a16="http://schemas.microsoft.com/office/drawing/2014/main" id="{257F3144-B875-442F-19C8-D0FC28BAC014}"/>
                </a:ext>
              </a:extLst>
            </xdr:cNvPr>
            <xdr:cNvGraphicFramePr/>
          </xdr:nvGraphicFramePr>
          <xdr:xfrm>
            <a:off x="0" y="0"/>
            <a:ext cx="0" cy="0"/>
          </xdr:xfrm>
          <a:graphic>
            <a:graphicData uri="http://schemas.microsoft.com/office/drawing/2010/slicer">
              <sle:slicer xmlns:sle="http://schemas.microsoft.com/office/drawing/2010/slicer" name="TerminationReason"/>
            </a:graphicData>
          </a:graphic>
        </xdr:graphicFrame>
      </mc:Choice>
      <mc:Fallback>
        <xdr:sp macro="" textlink="">
          <xdr:nvSpPr>
            <xdr:cNvPr id="0" name=""/>
            <xdr:cNvSpPr>
              <a:spLocks noTextEdit="1"/>
            </xdr:cNvSpPr>
          </xdr:nvSpPr>
          <xdr:spPr>
            <a:xfrm>
              <a:off x="5609772" y="372836"/>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363486</xdr:colOff>
      <xdr:row>2</xdr:row>
      <xdr:rowOff>100062</xdr:rowOff>
    </xdr:from>
    <xdr:to>
      <xdr:col>17</xdr:col>
      <xdr:colOff>184355</xdr:colOff>
      <xdr:row>27</xdr:row>
      <xdr:rowOff>23658</xdr:rowOff>
    </xdr:to>
    <xdr:graphicFrame macro="">
      <xdr:nvGraphicFramePr>
        <xdr:cNvPr id="4" name="Chart 3">
          <a:extLst>
            <a:ext uri="{FF2B5EF4-FFF2-40B4-BE49-F238E27FC236}">
              <a16:creationId xmlns:a16="http://schemas.microsoft.com/office/drawing/2014/main" id="{91477C4F-2E62-100D-F259-1C687CDAD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458787</xdr:colOff>
      <xdr:row>1</xdr:row>
      <xdr:rowOff>68262</xdr:rowOff>
    </xdr:from>
    <xdr:to>
      <xdr:col>11</xdr:col>
      <xdr:colOff>466725</xdr:colOff>
      <xdr:row>22</xdr:row>
      <xdr:rowOff>123825</xdr:rowOff>
    </xdr:to>
    <xdr:graphicFrame macro="">
      <xdr:nvGraphicFramePr>
        <xdr:cNvPr id="2" name="Chart 1">
          <a:extLst>
            <a:ext uri="{FF2B5EF4-FFF2-40B4-BE49-F238E27FC236}">
              <a16:creationId xmlns:a16="http://schemas.microsoft.com/office/drawing/2014/main" id="{E146A160-916A-7FED-FA32-F3D004E16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542925</xdr:colOff>
      <xdr:row>2</xdr:row>
      <xdr:rowOff>77786</xdr:rowOff>
    </xdr:from>
    <xdr:to>
      <xdr:col>10</xdr:col>
      <xdr:colOff>371475</xdr:colOff>
      <xdr:row>19</xdr:row>
      <xdr:rowOff>38099</xdr:rowOff>
    </xdr:to>
    <xdr:graphicFrame macro="">
      <xdr:nvGraphicFramePr>
        <xdr:cNvPr id="2" name="Chart 1">
          <a:extLst>
            <a:ext uri="{FF2B5EF4-FFF2-40B4-BE49-F238E27FC236}">
              <a16:creationId xmlns:a16="http://schemas.microsoft.com/office/drawing/2014/main" id="{FD79D764-B5CA-A7FF-D53C-61E0CA8FE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y To" refreshedDate="45982.481046180554" createdVersion="8" refreshedVersion="8" minRefreshableVersion="3" recordCount="100" xr:uid="{929CA1E5-13AB-49A5-8499-99010630D55D}">
  <cacheSource type="worksheet">
    <worksheetSource name="employees_model"/>
  </cacheSource>
  <cacheFields count="19">
    <cacheField name="EmployeeID" numFmtId="0">
      <sharedItems containsSemiMixedTypes="0" containsString="0" containsNumber="1" containsInteger="1" minValue="1000" maxValue="1099" count="100">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sharedItems>
    </cacheField>
    <cacheField name="FirstName" numFmtId="0">
      <sharedItems/>
    </cacheField>
    <cacheField name="LastName" numFmtId="0">
      <sharedItems/>
    </cacheField>
    <cacheField name="Department" numFmtId="0">
      <sharedItems count="5">
        <s v="Nursing"/>
        <s v="Medical Assistants"/>
        <s v="Admin"/>
        <s v="Behavioral Health"/>
        <s v="IT / Analytics"/>
      </sharedItems>
    </cacheField>
    <cacheField name="JobTitle" numFmtId="0">
      <sharedItems/>
    </cacheField>
    <cacheField name="Location" numFmtId="0">
      <sharedItems/>
    </cacheField>
    <cacheField name="HireDate" numFmtId="14">
      <sharedItems containsSemiMixedTypes="0" containsNonDate="0" containsDate="1" containsString="0" minDate="2022-01-05T00:00:00" maxDate="2025-08-31T00:00:00"/>
    </cacheField>
    <cacheField name="TermDate" numFmtId="14">
      <sharedItems containsNonDate="0" containsDate="1" containsString="0" containsBlank="1" minDate="2022-09-06T00:00:00" maxDate="2025-10-24T00:00:00"/>
    </cacheField>
    <cacheField name="EmploymentType" numFmtId="0">
      <sharedItems count="3">
        <s v="Full-time"/>
        <s v="Part-time"/>
        <s v="Per diem"/>
      </sharedItems>
    </cacheField>
    <cacheField name="FTE" numFmtId="0">
      <sharedItems containsSemiMixedTypes="0" containsString="0" containsNumber="1" minValue="0.1" maxValue="1"/>
    </cacheField>
    <cacheField name="TerminationReason" numFmtId="0">
      <sharedItems containsBlank="1" count="4">
        <s v="Voluntary"/>
        <s v="Involuntary"/>
        <m/>
        <s v="Retirement"/>
      </sharedItems>
    </cacheField>
    <cacheField name="IsActive" numFmtId="0">
      <sharedItems count="2">
        <s v="No"/>
        <s v="Yes"/>
      </sharedItems>
    </cacheField>
    <cacheField name="HireMonth" numFmtId="14">
      <sharedItems containsSemiMixedTypes="0" containsNonDate="0" containsDate="1" containsString="0" minDate="2022-01-01T00:00:00" maxDate="2025-08-02T00:00:00"/>
    </cacheField>
    <cacheField name="TermMonth" numFmtId="14">
      <sharedItems containsNonDate="0" containsDate="1" containsString="0" containsBlank="1" minDate="2022-09-01T00:00:00" maxDate="2025-10-02T00:00:00" count="22">
        <d v="2025-06-01T00:00:00"/>
        <d v="2024-06-01T00:00:00"/>
        <m/>
        <d v="2025-03-01T00:00:00"/>
        <d v="2023-12-01T00:00:00"/>
        <d v="2024-04-01T00:00:00"/>
        <d v="2022-09-01T00:00:00"/>
        <d v="2024-03-01T00:00:00"/>
        <d v="2025-05-01T00:00:00"/>
        <d v="2024-11-01T00:00:00"/>
        <d v="2025-09-01T00:00:00"/>
        <d v="2023-08-01T00:00:00"/>
        <d v="2025-10-01T00:00:00"/>
        <d v="2023-10-01T00:00:00"/>
        <d v="2024-02-01T00:00:00"/>
        <d v="2024-10-01T00:00:00"/>
        <d v="2025-07-01T00:00:00"/>
        <d v="2023-07-01T00:00:00"/>
        <d v="2024-09-01T00:00:00"/>
        <d v="2023-03-01T00:00:00"/>
        <d v="2022-10-01T00:00:00"/>
        <d v="2023-06-01T00:00:00"/>
      </sharedItems>
      <fieldGroup par="18"/>
    </cacheField>
    <cacheField name="TenureDays" numFmtId="0">
      <sharedItems containsSemiMixedTypes="0" containsString="0" containsNumber="1" containsInteger="1" minValue="36" maxValue="1395"/>
    </cacheField>
    <cacheField name="HeadCountFlag" numFmtId="1">
      <sharedItems containsSemiMixedTypes="0" containsString="0" containsNumber="1" containsInteger="1" minValue="0" maxValue="1"/>
    </cacheField>
    <cacheField name="Months (TermMonth)" numFmtId="0" databaseField="0">
      <fieldGroup base="13">
        <rangePr groupBy="months" startDate="2022-09-01T00:00:00" endDate="2025-10-02T00:00:00"/>
        <groupItems count="14">
          <s v="&lt;9/1/2022"/>
          <s v="Jan"/>
          <s v="Feb"/>
          <s v="Mar"/>
          <s v="Apr"/>
          <s v="May"/>
          <s v="Jun"/>
          <s v="Jul"/>
          <s v="Aug"/>
          <s v="Sep"/>
          <s v="Oct"/>
          <s v="Nov"/>
          <s v="Dec"/>
          <s v="&gt;10/2/2025"/>
        </groupItems>
      </fieldGroup>
    </cacheField>
    <cacheField name="Quarters (TermMonth)" numFmtId="0" databaseField="0">
      <fieldGroup base="13">
        <rangePr groupBy="quarters" startDate="2022-09-01T00:00:00" endDate="2025-10-02T00:00:00"/>
        <groupItems count="6">
          <s v="&lt;9/1/2022"/>
          <s v="Qtr1"/>
          <s v="Qtr2"/>
          <s v="Qtr3"/>
          <s v="Qtr4"/>
          <s v="&gt;10/2/2025"/>
        </groupItems>
      </fieldGroup>
    </cacheField>
    <cacheField name="Years (TermMonth)" numFmtId="0" databaseField="0">
      <fieldGroup base="13">
        <rangePr groupBy="years" startDate="2022-09-01T00:00:00" endDate="2025-10-02T00:00:00"/>
        <groupItems count="6">
          <s v="&lt;9/1/2022"/>
          <s v="2022"/>
          <s v="2023"/>
          <s v="2024"/>
          <s v="2025"/>
          <s v="&gt;10/2/2025"/>
        </groupItems>
      </fieldGroup>
    </cacheField>
  </cacheFields>
  <extLst>
    <ext xmlns:x14="http://schemas.microsoft.com/office/spreadsheetml/2009/9/main" uri="{725AE2AE-9491-48be-B2B4-4EB974FC3084}">
      <x14:pivotCacheDefinition pivotCacheId="1068546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Hayden"/>
    <s v="Garcia"/>
    <x v="0"/>
    <s v="LPN"/>
    <s v="Renton Clinic"/>
    <d v="2024-11-27T00:00:00"/>
    <d v="2025-06-14T00:00:00"/>
    <x v="0"/>
    <n v="1"/>
    <x v="0"/>
    <x v="0"/>
    <d v="2024-11-01T00:00:00"/>
    <x v="0"/>
    <n v="199"/>
    <n v="0"/>
  </r>
  <r>
    <x v="1"/>
    <s v="Taylor"/>
    <s v="Young"/>
    <x v="1"/>
    <s v="MA II"/>
    <s v="Renton Clinic"/>
    <d v="2024-03-12T00:00:00"/>
    <d v="2024-06-02T00:00:00"/>
    <x v="0"/>
    <n v="1"/>
    <x v="1"/>
    <x v="0"/>
    <d v="2024-03-01T00:00:00"/>
    <x v="1"/>
    <n v="82"/>
    <n v="0"/>
  </r>
  <r>
    <x v="2"/>
    <s v="Casey"/>
    <s v="Patel"/>
    <x v="2"/>
    <s v="HR Generalist"/>
    <s v="Bellevue Clinic"/>
    <d v="2025-04-24T00:00:00"/>
    <m/>
    <x v="0"/>
    <n v="1"/>
    <x v="2"/>
    <x v="1"/>
    <d v="2025-04-01T00:00:00"/>
    <x v="2"/>
    <n v="191"/>
    <n v="1"/>
  </r>
  <r>
    <x v="3"/>
    <s v="Jordan"/>
    <s v="Davis"/>
    <x v="3"/>
    <s v="Behavioral Health Specialist"/>
    <s v="Bellevue Clinic"/>
    <d v="2022-01-05T00:00:00"/>
    <d v="2025-03-16T00:00:00"/>
    <x v="0"/>
    <n v="1"/>
    <x v="1"/>
    <x v="0"/>
    <d v="2022-01-01T00:00:00"/>
    <x v="3"/>
    <n v="1166"/>
    <n v="0"/>
  </r>
  <r>
    <x v="4"/>
    <s v="Casey"/>
    <s v="Martinez"/>
    <x v="2"/>
    <s v="HR Generalist"/>
    <s v="Renton Clinic"/>
    <d v="2022-01-08T00:00:00"/>
    <m/>
    <x v="0"/>
    <n v="0.9"/>
    <x v="2"/>
    <x v="1"/>
    <d v="2022-01-01T00:00:00"/>
    <x v="2"/>
    <n v="1393"/>
    <n v="1"/>
  </r>
  <r>
    <x v="5"/>
    <s v="Jordan"/>
    <s v="Anderson"/>
    <x v="1"/>
    <s v="Lead Medical Assistant"/>
    <s v="Seattle Clinic"/>
    <d v="2025-04-10T00:00:00"/>
    <m/>
    <x v="1"/>
    <n v="0.7"/>
    <x v="2"/>
    <x v="1"/>
    <d v="2025-04-01T00:00:00"/>
    <x v="2"/>
    <n v="205"/>
    <n v="1"/>
  </r>
  <r>
    <x v="6"/>
    <s v="Riley"/>
    <s v="Patel"/>
    <x v="1"/>
    <s v="Lead Medical Assistant"/>
    <s v="Renton Clinic"/>
    <d v="2024-07-13T00:00:00"/>
    <m/>
    <x v="2"/>
    <n v="0.2"/>
    <x v="2"/>
    <x v="1"/>
    <d v="2024-07-01T00:00:00"/>
    <x v="2"/>
    <n v="476"/>
    <n v="1"/>
  </r>
  <r>
    <x v="7"/>
    <s v="Jesse"/>
    <s v="Davis"/>
    <x v="1"/>
    <s v="MA I"/>
    <s v="Renton Clinic"/>
    <d v="2024-08-05T00:00:00"/>
    <m/>
    <x v="2"/>
    <n v="0.2"/>
    <x v="2"/>
    <x v="1"/>
    <d v="2024-08-01T00:00:00"/>
    <x v="2"/>
    <n v="453"/>
    <n v="1"/>
  </r>
  <r>
    <x v="8"/>
    <s v="Riley"/>
    <s v="Young"/>
    <x v="4"/>
    <s v="IT Support Specialist"/>
    <s v="Tacoma Clinic"/>
    <d v="2025-01-13T00:00:00"/>
    <m/>
    <x v="0"/>
    <n v="0.9"/>
    <x v="2"/>
    <x v="1"/>
    <d v="2025-01-01T00:00:00"/>
    <x v="2"/>
    <n v="292"/>
    <n v="1"/>
  </r>
  <r>
    <x v="9"/>
    <s v="Pat"/>
    <s v="Wilson"/>
    <x v="3"/>
    <s v="Case Manager"/>
    <s v="Bellevue Clinic"/>
    <d v="2024-06-01T00:00:00"/>
    <m/>
    <x v="1"/>
    <n v="0.7"/>
    <x v="2"/>
    <x v="1"/>
    <d v="2024-06-01T00:00:00"/>
    <x v="2"/>
    <n v="518"/>
    <n v="1"/>
  </r>
  <r>
    <x v="10"/>
    <s v="Quinn"/>
    <s v="Patel"/>
    <x v="4"/>
    <s v="HRIS Analyst"/>
    <s v="Tacoma Clinic"/>
    <d v="2023-10-14T00:00:00"/>
    <d v="2023-12-19T00:00:00"/>
    <x v="1"/>
    <n v="0.5"/>
    <x v="3"/>
    <x v="0"/>
    <d v="2023-10-01T00:00:00"/>
    <x v="4"/>
    <n v="66"/>
    <n v="0"/>
  </r>
  <r>
    <x v="11"/>
    <s v="Casey"/>
    <s v="Martinez"/>
    <x v="3"/>
    <s v="Case Manager"/>
    <s v="Tacoma Clinic"/>
    <d v="2022-09-11T00:00:00"/>
    <m/>
    <x v="0"/>
    <n v="1"/>
    <x v="2"/>
    <x v="1"/>
    <d v="2022-09-01T00:00:00"/>
    <x v="2"/>
    <n v="1147"/>
    <n v="1"/>
  </r>
  <r>
    <x v="12"/>
    <s v="Devin"/>
    <s v="Garcia"/>
    <x v="3"/>
    <s v="Therapist"/>
    <s v="Seattle Clinic"/>
    <d v="2023-02-26T00:00:00"/>
    <d v="2024-04-13T00:00:00"/>
    <x v="2"/>
    <n v="0.1"/>
    <x v="0"/>
    <x v="0"/>
    <d v="2023-02-01T00:00:00"/>
    <x v="5"/>
    <n v="412"/>
    <n v="0"/>
  </r>
  <r>
    <x v="13"/>
    <s v="Quinn"/>
    <s v="Anderson"/>
    <x v="0"/>
    <s v="LPN"/>
    <s v="Tacoma Clinic"/>
    <d v="2022-01-20T00:00:00"/>
    <d v="2022-09-06T00:00:00"/>
    <x v="2"/>
    <n v="0.1"/>
    <x v="1"/>
    <x v="0"/>
    <d v="2022-01-01T00:00:00"/>
    <x v="6"/>
    <n v="229"/>
    <n v="0"/>
  </r>
  <r>
    <x v="14"/>
    <s v="Riley"/>
    <s v="Brown"/>
    <x v="0"/>
    <s v="RN"/>
    <s v="Renton Clinic"/>
    <d v="2023-04-08T00:00:00"/>
    <m/>
    <x v="2"/>
    <n v="0.2"/>
    <x v="2"/>
    <x v="1"/>
    <d v="2023-04-01T00:00:00"/>
    <x v="2"/>
    <n v="938"/>
    <n v="1"/>
  </r>
  <r>
    <x v="15"/>
    <s v="Taylor"/>
    <s v="Lee"/>
    <x v="4"/>
    <s v="BI Developer"/>
    <s v="Seattle Clinic"/>
    <d v="2023-11-02T00:00:00"/>
    <m/>
    <x v="2"/>
    <n v="0.2"/>
    <x v="2"/>
    <x v="1"/>
    <d v="2023-11-01T00:00:00"/>
    <x v="2"/>
    <n v="730"/>
    <n v="1"/>
  </r>
  <r>
    <x v="16"/>
    <s v="Jamie"/>
    <s v="Lopez"/>
    <x v="1"/>
    <s v="MA II"/>
    <s v="Bellevue Clinic"/>
    <d v="2023-06-30T00:00:00"/>
    <m/>
    <x v="1"/>
    <n v="0.7"/>
    <x v="2"/>
    <x v="1"/>
    <d v="2023-06-01T00:00:00"/>
    <x v="2"/>
    <n v="855"/>
    <n v="1"/>
  </r>
  <r>
    <x v="17"/>
    <s v="Morgan"/>
    <s v="Nguyen"/>
    <x v="4"/>
    <s v="IT Support Specialist"/>
    <s v="Renton Clinic"/>
    <d v="2022-10-19T00:00:00"/>
    <m/>
    <x v="2"/>
    <n v="0.3"/>
    <x v="2"/>
    <x v="1"/>
    <d v="2022-10-01T00:00:00"/>
    <x v="2"/>
    <n v="1109"/>
    <n v="1"/>
  </r>
  <r>
    <x v="18"/>
    <s v="Jamie"/>
    <s v="Brown"/>
    <x v="0"/>
    <s v="Charge Nurse"/>
    <s v="Tacoma Clinic"/>
    <d v="2023-08-06T00:00:00"/>
    <d v="2024-03-21T00:00:00"/>
    <x v="1"/>
    <n v="0.6"/>
    <x v="0"/>
    <x v="0"/>
    <d v="2023-08-01T00:00:00"/>
    <x v="7"/>
    <n v="228"/>
    <n v="0"/>
  </r>
  <r>
    <x v="19"/>
    <s v="Riley"/>
    <s v="Wilson"/>
    <x v="1"/>
    <s v="MA II"/>
    <s v="Renton Clinic"/>
    <d v="2025-07-17T00:00:00"/>
    <m/>
    <x v="1"/>
    <n v="0.5"/>
    <x v="2"/>
    <x v="1"/>
    <d v="2025-07-01T00:00:00"/>
    <x v="2"/>
    <n v="107"/>
    <n v="1"/>
  </r>
  <r>
    <x v="20"/>
    <s v="Hayden"/>
    <s v="Nguyen"/>
    <x v="2"/>
    <s v="Front Desk Coordinator"/>
    <s v="Bellevue Clinic"/>
    <d v="2022-09-25T00:00:00"/>
    <m/>
    <x v="2"/>
    <n v="0.3"/>
    <x v="2"/>
    <x v="1"/>
    <d v="2022-09-01T00:00:00"/>
    <x v="2"/>
    <n v="1133"/>
    <n v="1"/>
  </r>
  <r>
    <x v="21"/>
    <s v="Riley"/>
    <s v="Patel"/>
    <x v="1"/>
    <s v="Lead Medical Assistant"/>
    <s v="Seattle Clinic"/>
    <d v="2024-12-21T00:00:00"/>
    <m/>
    <x v="2"/>
    <n v="0.1"/>
    <x v="2"/>
    <x v="1"/>
    <d v="2024-12-01T00:00:00"/>
    <x v="2"/>
    <n v="315"/>
    <n v="1"/>
  </r>
  <r>
    <x v="22"/>
    <s v="Hayden"/>
    <s v="Young"/>
    <x v="1"/>
    <s v="MA I"/>
    <s v="Seattle Clinic"/>
    <d v="2023-08-24T00:00:00"/>
    <m/>
    <x v="0"/>
    <n v="0.8"/>
    <x v="2"/>
    <x v="1"/>
    <d v="2023-08-01T00:00:00"/>
    <x v="2"/>
    <n v="800"/>
    <n v="1"/>
  </r>
  <r>
    <x v="23"/>
    <s v="Sam"/>
    <s v="Martinez"/>
    <x v="3"/>
    <s v="Case Manager"/>
    <s v="Renton Clinic"/>
    <d v="2023-03-08T00:00:00"/>
    <d v="2025-05-07T00:00:00"/>
    <x v="0"/>
    <n v="1"/>
    <x v="3"/>
    <x v="0"/>
    <d v="2023-03-01T00:00:00"/>
    <x v="8"/>
    <n v="791"/>
    <n v="0"/>
  </r>
  <r>
    <x v="24"/>
    <s v="Riley"/>
    <s v="Johnson"/>
    <x v="3"/>
    <s v="Psychiatric ARNP"/>
    <s v="Bellevue Clinic"/>
    <d v="2024-10-25T00:00:00"/>
    <d v="2025-05-26T00:00:00"/>
    <x v="1"/>
    <n v="0.4"/>
    <x v="0"/>
    <x v="0"/>
    <d v="2024-10-01T00:00:00"/>
    <x v="8"/>
    <n v="213"/>
    <n v="0"/>
  </r>
  <r>
    <x v="25"/>
    <s v="Hayden"/>
    <s v="Anderson"/>
    <x v="3"/>
    <s v="Behavioral Health Specialist"/>
    <s v="Tacoma Clinic"/>
    <d v="2023-09-21T00:00:00"/>
    <m/>
    <x v="1"/>
    <n v="0.5"/>
    <x v="2"/>
    <x v="1"/>
    <d v="2023-09-01T00:00:00"/>
    <x v="2"/>
    <n v="772"/>
    <n v="1"/>
  </r>
  <r>
    <x v="26"/>
    <s v="Casey"/>
    <s v="Wilson"/>
    <x v="0"/>
    <s v="CNA"/>
    <s v="Bellevue Clinic"/>
    <d v="2023-11-10T00:00:00"/>
    <m/>
    <x v="2"/>
    <n v="0.2"/>
    <x v="2"/>
    <x v="1"/>
    <d v="2023-11-01T00:00:00"/>
    <x v="2"/>
    <n v="722"/>
    <n v="1"/>
  </r>
  <r>
    <x v="27"/>
    <s v="Riley"/>
    <s v="Clark"/>
    <x v="2"/>
    <s v="Office Assistant"/>
    <s v="Bellevue Clinic"/>
    <d v="2023-02-05T00:00:00"/>
    <m/>
    <x v="0"/>
    <n v="0.9"/>
    <x v="2"/>
    <x v="1"/>
    <d v="2023-02-01T00:00:00"/>
    <x v="2"/>
    <n v="1000"/>
    <n v="1"/>
  </r>
  <r>
    <x v="28"/>
    <s v="Alex"/>
    <s v="Johnson"/>
    <x v="0"/>
    <s v="RN"/>
    <s v="Seattle Clinic"/>
    <d v="2025-03-10T00:00:00"/>
    <d v="2025-05-29T00:00:00"/>
    <x v="0"/>
    <n v="0.8"/>
    <x v="0"/>
    <x v="0"/>
    <d v="2025-03-01T00:00:00"/>
    <x v="8"/>
    <n v="80"/>
    <n v="0"/>
  </r>
  <r>
    <x v="29"/>
    <s v="Sam"/>
    <s v="Wilson"/>
    <x v="2"/>
    <s v="HR Generalist"/>
    <s v="Seattle Clinic"/>
    <d v="2022-04-29T00:00:00"/>
    <d v="2024-11-10T00:00:00"/>
    <x v="1"/>
    <n v="0.7"/>
    <x v="0"/>
    <x v="0"/>
    <d v="2022-04-01T00:00:00"/>
    <x v="9"/>
    <n v="926"/>
    <n v="0"/>
  </r>
  <r>
    <x v="30"/>
    <s v="Sam"/>
    <s v="Smith"/>
    <x v="0"/>
    <s v="LPN"/>
    <s v="Seattle Clinic"/>
    <d v="2024-02-21T00:00:00"/>
    <m/>
    <x v="0"/>
    <n v="0.9"/>
    <x v="2"/>
    <x v="1"/>
    <d v="2024-02-01T00:00:00"/>
    <x v="2"/>
    <n v="619"/>
    <n v="1"/>
  </r>
  <r>
    <x v="31"/>
    <s v="Jesse"/>
    <s v="Martinez"/>
    <x v="1"/>
    <s v="MA II"/>
    <s v="Bellevue Clinic"/>
    <d v="2025-03-14T00:00:00"/>
    <m/>
    <x v="1"/>
    <n v="0.4"/>
    <x v="2"/>
    <x v="1"/>
    <d v="2025-03-01T00:00:00"/>
    <x v="2"/>
    <n v="232"/>
    <n v="1"/>
  </r>
  <r>
    <x v="32"/>
    <s v="Sam"/>
    <s v="Brown"/>
    <x v="1"/>
    <s v="MA I"/>
    <s v="Seattle Clinic"/>
    <d v="2025-05-10T00:00:00"/>
    <m/>
    <x v="1"/>
    <n v="0.7"/>
    <x v="2"/>
    <x v="1"/>
    <d v="2025-05-01T00:00:00"/>
    <x v="2"/>
    <n v="175"/>
    <n v="1"/>
  </r>
  <r>
    <x v="33"/>
    <s v="Pat"/>
    <s v="Nguyen"/>
    <x v="3"/>
    <s v="Therapist"/>
    <s v="Renton Clinic"/>
    <d v="2024-02-11T00:00:00"/>
    <d v="2025-09-05T00:00:00"/>
    <x v="0"/>
    <n v="0.9"/>
    <x v="0"/>
    <x v="0"/>
    <d v="2024-02-01T00:00:00"/>
    <x v="10"/>
    <n v="572"/>
    <n v="0"/>
  </r>
  <r>
    <x v="34"/>
    <s v="Casey"/>
    <s v="Anderson"/>
    <x v="3"/>
    <s v="Psychiatric ARNP"/>
    <s v="Seattle Clinic"/>
    <d v="2024-01-14T00:00:00"/>
    <m/>
    <x v="0"/>
    <n v="0.9"/>
    <x v="2"/>
    <x v="1"/>
    <d v="2024-01-01T00:00:00"/>
    <x v="2"/>
    <n v="657"/>
    <n v="1"/>
  </r>
  <r>
    <x v="35"/>
    <s v="Quinn"/>
    <s v="Smith"/>
    <x v="4"/>
    <s v="Data Analyst"/>
    <s v="Renton Clinic"/>
    <d v="2025-01-30T00:00:00"/>
    <m/>
    <x v="2"/>
    <n v="0.3"/>
    <x v="2"/>
    <x v="1"/>
    <d v="2025-01-01T00:00:00"/>
    <x v="2"/>
    <n v="275"/>
    <n v="1"/>
  </r>
  <r>
    <x v="36"/>
    <s v="Jordan"/>
    <s v="Smith"/>
    <x v="1"/>
    <s v="MA II"/>
    <s v="Renton Clinic"/>
    <d v="2023-05-31T00:00:00"/>
    <m/>
    <x v="1"/>
    <n v="0.4"/>
    <x v="2"/>
    <x v="1"/>
    <d v="2023-05-01T00:00:00"/>
    <x v="2"/>
    <n v="885"/>
    <n v="1"/>
  </r>
  <r>
    <x v="37"/>
    <s v="Chris"/>
    <s v="Patel"/>
    <x v="0"/>
    <s v="Nurse Supervisor"/>
    <s v="Renton Clinic"/>
    <d v="2022-05-15T00:00:00"/>
    <m/>
    <x v="0"/>
    <n v="0.8"/>
    <x v="2"/>
    <x v="1"/>
    <d v="2022-05-01T00:00:00"/>
    <x v="2"/>
    <n v="1266"/>
    <n v="1"/>
  </r>
  <r>
    <x v="38"/>
    <s v="Alex"/>
    <s v="Garcia"/>
    <x v="0"/>
    <s v="Charge Nurse"/>
    <s v="Seattle Clinic"/>
    <d v="2024-04-30T00:00:00"/>
    <m/>
    <x v="2"/>
    <n v="0.1"/>
    <x v="2"/>
    <x v="1"/>
    <d v="2024-04-01T00:00:00"/>
    <x v="2"/>
    <n v="550"/>
    <n v="1"/>
  </r>
  <r>
    <x v="39"/>
    <s v="Devin"/>
    <s v="Martinez"/>
    <x v="1"/>
    <s v="Lead Medical Assistant"/>
    <s v="Renton Clinic"/>
    <d v="2025-03-03T00:00:00"/>
    <m/>
    <x v="2"/>
    <n v="0.2"/>
    <x v="2"/>
    <x v="1"/>
    <d v="2025-03-01T00:00:00"/>
    <x v="2"/>
    <n v="243"/>
    <n v="1"/>
  </r>
  <r>
    <x v="40"/>
    <s v="Jamie"/>
    <s v="Davis"/>
    <x v="3"/>
    <s v="Behavioral Health Specialist"/>
    <s v="Seattle Clinic"/>
    <d v="2022-11-25T00:00:00"/>
    <m/>
    <x v="0"/>
    <n v="0.8"/>
    <x v="2"/>
    <x v="1"/>
    <d v="2022-11-01T00:00:00"/>
    <x v="2"/>
    <n v="1072"/>
    <n v="1"/>
  </r>
  <r>
    <x v="41"/>
    <s v="Morgan"/>
    <s v="Clark"/>
    <x v="1"/>
    <s v="MA II"/>
    <s v="Renton Clinic"/>
    <d v="2023-12-30T00:00:00"/>
    <m/>
    <x v="1"/>
    <n v="0.7"/>
    <x v="2"/>
    <x v="1"/>
    <d v="2023-12-01T00:00:00"/>
    <x v="2"/>
    <n v="672"/>
    <n v="1"/>
  </r>
  <r>
    <x v="42"/>
    <s v="Quinn"/>
    <s v="Davis"/>
    <x v="1"/>
    <s v="Lead Medical Assistant"/>
    <s v="Tacoma Clinic"/>
    <d v="2023-07-03T00:00:00"/>
    <m/>
    <x v="2"/>
    <n v="0.1"/>
    <x v="2"/>
    <x v="1"/>
    <d v="2023-07-01T00:00:00"/>
    <x v="2"/>
    <n v="852"/>
    <n v="1"/>
  </r>
  <r>
    <x v="43"/>
    <s v="Casey"/>
    <s v="Brown"/>
    <x v="3"/>
    <s v="Case Manager"/>
    <s v="Tacoma Clinic"/>
    <d v="2023-06-03T00:00:00"/>
    <d v="2023-08-16T00:00:00"/>
    <x v="0"/>
    <n v="0.9"/>
    <x v="0"/>
    <x v="0"/>
    <d v="2023-06-01T00:00:00"/>
    <x v="11"/>
    <n v="74"/>
    <n v="0"/>
  </r>
  <r>
    <x v="44"/>
    <s v="Jordan"/>
    <s v="Patel"/>
    <x v="2"/>
    <s v="Office Assistant"/>
    <s v="Renton Clinic"/>
    <d v="2025-08-29T00:00:00"/>
    <m/>
    <x v="0"/>
    <n v="0.9"/>
    <x v="2"/>
    <x v="1"/>
    <d v="2025-08-01T00:00:00"/>
    <x v="2"/>
    <n v="64"/>
    <n v="1"/>
  </r>
  <r>
    <x v="45"/>
    <s v="Sam"/>
    <s v="Brown"/>
    <x v="1"/>
    <s v="Lead Medical Assistant"/>
    <s v="Renton Clinic"/>
    <d v="2023-09-19T00:00:00"/>
    <d v="2024-04-03T00:00:00"/>
    <x v="1"/>
    <n v="0.5"/>
    <x v="1"/>
    <x v="0"/>
    <d v="2023-09-01T00:00:00"/>
    <x v="5"/>
    <n v="197"/>
    <n v="0"/>
  </r>
  <r>
    <x v="46"/>
    <s v="Jamie"/>
    <s v="Davis"/>
    <x v="1"/>
    <s v="MA II"/>
    <s v="Bellevue Clinic"/>
    <d v="2025-08-12T00:00:00"/>
    <d v="2025-10-23T00:00:00"/>
    <x v="0"/>
    <n v="1"/>
    <x v="0"/>
    <x v="0"/>
    <d v="2025-08-01T00:00:00"/>
    <x v="12"/>
    <n v="72"/>
    <n v="0"/>
  </r>
  <r>
    <x v="47"/>
    <s v="Jesse"/>
    <s v="Johnson"/>
    <x v="1"/>
    <s v="MA I"/>
    <s v="Renton Clinic"/>
    <d v="2023-04-24T00:00:00"/>
    <m/>
    <x v="2"/>
    <n v="0.1"/>
    <x v="2"/>
    <x v="1"/>
    <d v="2023-04-01T00:00:00"/>
    <x v="2"/>
    <n v="922"/>
    <n v="1"/>
  </r>
  <r>
    <x v="48"/>
    <s v="Quinn"/>
    <s v="Brown"/>
    <x v="3"/>
    <s v="Case Manager"/>
    <s v="Bellevue Clinic"/>
    <d v="2022-05-24T00:00:00"/>
    <m/>
    <x v="2"/>
    <n v="0.1"/>
    <x v="2"/>
    <x v="1"/>
    <d v="2022-05-01T00:00:00"/>
    <x v="2"/>
    <n v="1257"/>
    <n v="1"/>
  </r>
  <r>
    <x v="49"/>
    <s v="Hayden"/>
    <s v="Clark"/>
    <x v="2"/>
    <s v="HR Generalist"/>
    <s v="Seattle Clinic"/>
    <d v="2025-08-30T00:00:00"/>
    <d v="2025-10-05T00:00:00"/>
    <x v="0"/>
    <n v="1"/>
    <x v="0"/>
    <x v="0"/>
    <d v="2025-08-01T00:00:00"/>
    <x v="12"/>
    <n v="36"/>
    <n v="0"/>
  </r>
  <r>
    <x v="50"/>
    <s v="Quinn"/>
    <s v="Brown"/>
    <x v="4"/>
    <s v="IT Support Specialist"/>
    <s v="Bellevue Clinic"/>
    <d v="2025-04-26T00:00:00"/>
    <m/>
    <x v="2"/>
    <n v="0.1"/>
    <x v="2"/>
    <x v="1"/>
    <d v="2025-04-01T00:00:00"/>
    <x v="2"/>
    <n v="189"/>
    <n v="1"/>
  </r>
  <r>
    <x v="51"/>
    <s v="Jamie"/>
    <s v="Clark"/>
    <x v="2"/>
    <s v="Office Assistant"/>
    <s v="Bellevue Clinic"/>
    <d v="2025-08-29T00:00:00"/>
    <m/>
    <x v="2"/>
    <n v="0.2"/>
    <x v="2"/>
    <x v="1"/>
    <d v="2025-08-01T00:00:00"/>
    <x v="2"/>
    <n v="64"/>
    <n v="1"/>
  </r>
  <r>
    <x v="52"/>
    <s v="Devin"/>
    <s v="Martinez"/>
    <x v="2"/>
    <s v="HR Generalist"/>
    <s v="Tacoma Clinic"/>
    <d v="2023-02-02T00:00:00"/>
    <d v="2023-10-08T00:00:00"/>
    <x v="1"/>
    <n v="0.6"/>
    <x v="0"/>
    <x v="0"/>
    <d v="2023-02-01T00:00:00"/>
    <x v="13"/>
    <n v="248"/>
    <n v="0"/>
  </r>
  <r>
    <x v="53"/>
    <s v="Riley"/>
    <s v="Lee"/>
    <x v="0"/>
    <s v="LPN"/>
    <s v="Bellevue Clinic"/>
    <d v="2023-09-02T00:00:00"/>
    <m/>
    <x v="0"/>
    <n v="0.8"/>
    <x v="2"/>
    <x v="1"/>
    <d v="2023-09-01T00:00:00"/>
    <x v="2"/>
    <n v="791"/>
    <n v="1"/>
  </r>
  <r>
    <x v="54"/>
    <s v="Chris"/>
    <s v="Patel"/>
    <x v="1"/>
    <s v="Lead Medical Assistant"/>
    <s v="Tacoma Clinic"/>
    <d v="2024-03-08T00:00:00"/>
    <m/>
    <x v="1"/>
    <n v="0.7"/>
    <x v="2"/>
    <x v="1"/>
    <d v="2024-03-01T00:00:00"/>
    <x v="2"/>
    <n v="603"/>
    <n v="1"/>
  </r>
  <r>
    <x v="55"/>
    <s v="Morgan"/>
    <s v="Davis"/>
    <x v="2"/>
    <s v="HR Generalist"/>
    <s v="Seattle Clinic"/>
    <d v="2024-12-10T00:00:00"/>
    <d v="2025-10-06T00:00:00"/>
    <x v="2"/>
    <n v="0.3"/>
    <x v="1"/>
    <x v="0"/>
    <d v="2024-12-01T00:00:00"/>
    <x v="12"/>
    <n v="300"/>
    <n v="0"/>
  </r>
  <r>
    <x v="56"/>
    <s v="Taylor"/>
    <s v="Anderson"/>
    <x v="0"/>
    <s v="Charge Nurse"/>
    <s v="Tacoma Clinic"/>
    <d v="2023-08-15T00:00:00"/>
    <m/>
    <x v="1"/>
    <n v="0.7"/>
    <x v="2"/>
    <x v="1"/>
    <d v="2023-08-01T00:00:00"/>
    <x v="2"/>
    <n v="809"/>
    <n v="1"/>
  </r>
  <r>
    <x v="57"/>
    <s v="Morgan"/>
    <s v="Johnson"/>
    <x v="4"/>
    <s v="BI Developer"/>
    <s v="Seattle Clinic"/>
    <d v="2022-06-28T00:00:00"/>
    <d v="2024-02-13T00:00:00"/>
    <x v="0"/>
    <n v="1"/>
    <x v="1"/>
    <x v="0"/>
    <d v="2022-06-01T00:00:00"/>
    <x v="14"/>
    <n v="595"/>
    <n v="0"/>
  </r>
  <r>
    <x v="58"/>
    <s v="Taylor"/>
    <s v="Davis"/>
    <x v="0"/>
    <s v="Nurse Supervisor"/>
    <s v="Tacoma Clinic"/>
    <d v="2023-06-25T00:00:00"/>
    <m/>
    <x v="2"/>
    <n v="0.3"/>
    <x v="2"/>
    <x v="1"/>
    <d v="2023-06-01T00:00:00"/>
    <x v="2"/>
    <n v="860"/>
    <n v="1"/>
  </r>
  <r>
    <x v="59"/>
    <s v="Hayden"/>
    <s v="Lee"/>
    <x v="3"/>
    <s v="Psychiatric ARNP"/>
    <s v="Seattle Clinic"/>
    <d v="2022-04-10T00:00:00"/>
    <m/>
    <x v="2"/>
    <n v="0.2"/>
    <x v="2"/>
    <x v="1"/>
    <d v="2022-04-01T00:00:00"/>
    <x v="2"/>
    <n v="1301"/>
    <n v="1"/>
  </r>
  <r>
    <x v="60"/>
    <s v="Jesse"/>
    <s v="Clark"/>
    <x v="0"/>
    <s v="Charge Nurse"/>
    <s v="Seattle Clinic"/>
    <d v="2025-03-30T00:00:00"/>
    <m/>
    <x v="2"/>
    <n v="0.2"/>
    <x v="2"/>
    <x v="1"/>
    <d v="2025-03-01T00:00:00"/>
    <x v="2"/>
    <n v="216"/>
    <n v="1"/>
  </r>
  <r>
    <x v="61"/>
    <s v="Riley"/>
    <s v="Lee"/>
    <x v="0"/>
    <s v="RN"/>
    <s v="Bellevue Clinic"/>
    <d v="2022-09-01T00:00:00"/>
    <d v="2025-10-06T00:00:00"/>
    <x v="0"/>
    <n v="0.9"/>
    <x v="0"/>
    <x v="0"/>
    <d v="2022-09-01T00:00:00"/>
    <x v="12"/>
    <n v="1131"/>
    <n v="0"/>
  </r>
  <r>
    <x v="62"/>
    <s v="Pat"/>
    <s v="Lee"/>
    <x v="2"/>
    <s v="HR Generalist"/>
    <s v="Tacoma Clinic"/>
    <d v="2022-05-31T00:00:00"/>
    <d v="2024-10-13T00:00:00"/>
    <x v="0"/>
    <n v="0.8"/>
    <x v="0"/>
    <x v="0"/>
    <d v="2022-05-01T00:00:00"/>
    <x v="15"/>
    <n v="866"/>
    <n v="0"/>
  </r>
  <r>
    <x v="63"/>
    <s v="Pat"/>
    <s v="Young"/>
    <x v="1"/>
    <s v="MA II"/>
    <s v="Renton Clinic"/>
    <d v="2023-03-18T00:00:00"/>
    <m/>
    <x v="0"/>
    <n v="0.8"/>
    <x v="2"/>
    <x v="1"/>
    <d v="2023-03-01T00:00:00"/>
    <x v="2"/>
    <n v="959"/>
    <n v="1"/>
  </r>
  <r>
    <x v="64"/>
    <s v="Jamie"/>
    <s v="Young"/>
    <x v="4"/>
    <s v="Data Analyst"/>
    <s v="Bellevue Clinic"/>
    <d v="2023-01-02T00:00:00"/>
    <m/>
    <x v="1"/>
    <n v="0.7"/>
    <x v="2"/>
    <x v="1"/>
    <d v="2023-01-01T00:00:00"/>
    <x v="2"/>
    <n v="1034"/>
    <n v="1"/>
  </r>
  <r>
    <x v="65"/>
    <s v="Jesse"/>
    <s v="Martinez"/>
    <x v="2"/>
    <s v="Front Desk Coordinator"/>
    <s v="Seattle Clinic"/>
    <d v="2024-04-16T00:00:00"/>
    <m/>
    <x v="0"/>
    <n v="1"/>
    <x v="2"/>
    <x v="1"/>
    <d v="2024-04-01T00:00:00"/>
    <x v="2"/>
    <n v="564"/>
    <n v="1"/>
  </r>
  <r>
    <x v="66"/>
    <s v="Hayden"/>
    <s v="Garcia"/>
    <x v="0"/>
    <s v="CNA"/>
    <s v="Tacoma Clinic"/>
    <d v="2022-06-22T00:00:00"/>
    <m/>
    <x v="1"/>
    <n v="0.5"/>
    <x v="2"/>
    <x v="1"/>
    <d v="2022-06-01T00:00:00"/>
    <x v="2"/>
    <n v="1228"/>
    <n v="1"/>
  </r>
  <r>
    <x v="67"/>
    <s v="Sam"/>
    <s v="Brown"/>
    <x v="3"/>
    <s v="Therapist"/>
    <s v="Seattle Clinic"/>
    <d v="2023-07-05T00:00:00"/>
    <d v="2025-07-13T00:00:00"/>
    <x v="0"/>
    <n v="0.9"/>
    <x v="0"/>
    <x v="0"/>
    <d v="2023-07-01T00:00:00"/>
    <x v="16"/>
    <n v="739"/>
    <n v="0"/>
  </r>
  <r>
    <x v="68"/>
    <s v="Jamie"/>
    <s v="Clark"/>
    <x v="1"/>
    <s v="MA II"/>
    <s v="Seattle Clinic"/>
    <d v="2022-03-22T00:00:00"/>
    <d v="2025-10-21T00:00:00"/>
    <x v="0"/>
    <n v="0.9"/>
    <x v="1"/>
    <x v="0"/>
    <d v="2022-03-01T00:00:00"/>
    <x v="12"/>
    <n v="1309"/>
    <n v="0"/>
  </r>
  <r>
    <x v="69"/>
    <s v="Casey"/>
    <s v="Clark"/>
    <x v="1"/>
    <s v="MA I"/>
    <s v="Renton Clinic"/>
    <d v="2023-06-06T00:00:00"/>
    <d v="2023-07-24T00:00:00"/>
    <x v="2"/>
    <n v="0.2"/>
    <x v="0"/>
    <x v="0"/>
    <d v="2023-06-01T00:00:00"/>
    <x v="17"/>
    <n v="48"/>
    <n v="0"/>
  </r>
  <r>
    <x v="70"/>
    <s v="Pat"/>
    <s v="Patel"/>
    <x v="4"/>
    <s v="BI Developer"/>
    <s v="Seattle Clinic"/>
    <d v="2022-03-07T00:00:00"/>
    <d v="2023-08-20T00:00:00"/>
    <x v="2"/>
    <n v="0.1"/>
    <x v="3"/>
    <x v="0"/>
    <d v="2022-03-01T00:00:00"/>
    <x v="11"/>
    <n v="531"/>
    <n v="0"/>
  </r>
  <r>
    <x v="71"/>
    <s v="Hayden"/>
    <s v="Lopez"/>
    <x v="1"/>
    <s v="Lead Medical Assistant"/>
    <s v="Bellevue Clinic"/>
    <d v="2022-08-12T00:00:00"/>
    <d v="2025-10-20T00:00:00"/>
    <x v="1"/>
    <n v="0.6"/>
    <x v="0"/>
    <x v="0"/>
    <d v="2022-08-01T00:00:00"/>
    <x v="12"/>
    <n v="1165"/>
    <n v="0"/>
  </r>
  <r>
    <x v="72"/>
    <s v="Devin"/>
    <s v="Smith"/>
    <x v="3"/>
    <s v="Therapist"/>
    <s v="Tacoma Clinic"/>
    <d v="2023-11-05T00:00:00"/>
    <m/>
    <x v="0"/>
    <n v="0.9"/>
    <x v="2"/>
    <x v="1"/>
    <d v="2023-11-01T00:00:00"/>
    <x v="2"/>
    <n v="727"/>
    <n v="1"/>
  </r>
  <r>
    <x v="73"/>
    <s v="Taylor"/>
    <s v="Young"/>
    <x v="3"/>
    <s v="Behavioral Health Specialist"/>
    <s v="Tacoma Clinic"/>
    <d v="2022-07-26T00:00:00"/>
    <m/>
    <x v="2"/>
    <n v="0.3"/>
    <x v="2"/>
    <x v="1"/>
    <d v="2022-07-01T00:00:00"/>
    <x v="2"/>
    <n v="1194"/>
    <n v="1"/>
  </r>
  <r>
    <x v="74"/>
    <s v="Chris"/>
    <s v="Young"/>
    <x v="0"/>
    <s v="CNA"/>
    <s v="Seattle Clinic"/>
    <d v="2022-09-17T00:00:00"/>
    <m/>
    <x v="1"/>
    <n v="0.7"/>
    <x v="2"/>
    <x v="1"/>
    <d v="2022-09-01T00:00:00"/>
    <x v="2"/>
    <n v="1141"/>
    <n v="1"/>
  </r>
  <r>
    <x v="75"/>
    <s v="Sam"/>
    <s v="Anderson"/>
    <x v="3"/>
    <s v="Psychiatric ARNP"/>
    <s v="Seattle Clinic"/>
    <d v="2023-04-24T00:00:00"/>
    <m/>
    <x v="1"/>
    <n v="0.7"/>
    <x v="2"/>
    <x v="1"/>
    <d v="2023-04-01T00:00:00"/>
    <x v="2"/>
    <n v="922"/>
    <n v="1"/>
  </r>
  <r>
    <x v="76"/>
    <s v="Sam"/>
    <s v="Patel"/>
    <x v="1"/>
    <s v="Lead Medical Assistant"/>
    <s v="Seattle Clinic"/>
    <d v="2025-01-26T00:00:00"/>
    <m/>
    <x v="0"/>
    <n v="0.8"/>
    <x v="2"/>
    <x v="1"/>
    <d v="2025-01-01T00:00:00"/>
    <x v="2"/>
    <n v="279"/>
    <n v="1"/>
  </r>
  <r>
    <x v="77"/>
    <s v="Riley"/>
    <s v="Patel"/>
    <x v="2"/>
    <s v="HR Generalist"/>
    <s v="Bellevue Clinic"/>
    <d v="2023-10-07T00:00:00"/>
    <d v="2024-09-02T00:00:00"/>
    <x v="0"/>
    <n v="1"/>
    <x v="0"/>
    <x v="0"/>
    <d v="2023-10-01T00:00:00"/>
    <x v="18"/>
    <n v="331"/>
    <n v="0"/>
  </r>
  <r>
    <x v="78"/>
    <s v="Jesse"/>
    <s v="Patel"/>
    <x v="4"/>
    <s v="HRIS Analyst"/>
    <s v="Renton Clinic"/>
    <d v="2025-02-20T00:00:00"/>
    <m/>
    <x v="0"/>
    <n v="0.9"/>
    <x v="2"/>
    <x v="1"/>
    <d v="2025-02-01T00:00:00"/>
    <x v="2"/>
    <n v="254"/>
    <n v="1"/>
  </r>
  <r>
    <x v="79"/>
    <s v="Pat"/>
    <s v="Clark"/>
    <x v="3"/>
    <s v="Behavioral Health Specialist"/>
    <s v="Seattle Clinic"/>
    <d v="2023-07-26T00:00:00"/>
    <m/>
    <x v="1"/>
    <n v="0.7"/>
    <x v="2"/>
    <x v="1"/>
    <d v="2023-07-01T00:00:00"/>
    <x v="2"/>
    <n v="829"/>
    <n v="1"/>
  </r>
  <r>
    <x v="80"/>
    <s v="Morgan"/>
    <s v="Davis"/>
    <x v="1"/>
    <s v="MA II"/>
    <s v="Tacoma Clinic"/>
    <d v="2022-04-14T00:00:00"/>
    <d v="2023-03-07T00:00:00"/>
    <x v="0"/>
    <n v="1"/>
    <x v="0"/>
    <x v="0"/>
    <d v="2022-04-01T00:00:00"/>
    <x v="19"/>
    <n v="327"/>
    <n v="0"/>
  </r>
  <r>
    <x v="81"/>
    <s v="Pat"/>
    <s v="Davis"/>
    <x v="0"/>
    <s v="RN"/>
    <s v="Renton Clinic"/>
    <d v="2022-02-27T00:00:00"/>
    <m/>
    <x v="0"/>
    <n v="0.9"/>
    <x v="2"/>
    <x v="1"/>
    <d v="2022-02-01T00:00:00"/>
    <x v="2"/>
    <n v="1343"/>
    <n v="1"/>
  </r>
  <r>
    <x v="82"/>
    <s v="Devin"/>
    <s v="Young"/>
    <x v="1"/>
    <s v="MA I"/>
    <s v="Bellevue Clinic"/>
    <d v="2023-08-17T00:00:00"/>
    <d v="2024-11-01T00:00:00"/>
    <x v="0"/>
    <n v="0.8"/>
    <x v="0"/>
    <x v="0"/>
    <d v="2023-08-01T00:00:00"/>
    <x v="9"/>
    <n v="442"/>
    <n v="0"/>
  </r>
  <r>
    <x v="83"/>
    <s v="Quinn"/>
    <s v="Young"/>
    <x v="3"/>
    <s v="Psychiatric ARNP"/>
    <s v="Bellevue Clinic"/>
    <d v="2022-04-11T00:00:00"/>
    <m/>
    <x v="1"/>
    <n v="0.7"/>
    <x v="2"/>
    <x v="1"/>
    <d v="2022-04-01T00:00:00"/>
    <x v="2"/>
    <n v="1300"/>
    <n v="1"/>
  </r>
  <r>
    <x v="84"/>
    <s v="Quinn"/>
    <s v="Lopez"/>
    <x v="1"/>
    <s v="MA I"/>
    <s v="Tacoma Clinic"/>
    <d v="2023-08-19T00:00:00"/>
    <m/>
    <x v="2"/>
    <n v="0.2"/>
    <x v="2"/>
    <x v="1"/>
    <d v="2023-08-01T00:00:00"/>
    <x v="2"/>
    <n v="805"/>
    <n v="1"/>
  </r>
  <r>
    <x v="85"/>
    <s v="Hayden"/>
    <s v="Clark"/>
    <x v="1"/>
    <s v="MA I"/>
    <s v="Tacoma Clinic"/>
    <d v="2024-04-30T00:00:00"/>
    <d v="2024-06-13T00:00:00"/>
    <x v="1"/>
    <n v="0.5"/>
    <x v="0"/>
    <x v="0"/>
    <d v="2024-04-01T00:00:00"/>
    <x v="1"/>
    <n v="44"/>
    <n v="0"/>
  </r>
  <r>
    <x v="86"/>
    <s v="Morgan"/>
    <s v="Davis"/>
    <x v="4"/>
    <s v="IT Support Specialist"/>
    <s v="Tacoma Clinic"/>
    <d v="2025-01-01T00:00:00"/>
    <m/>
    <x v="1"/>
    <n v="0.6"/>
    <x v="2"/>
    <x v="1"/>
    <d v="2025-01-01T00:00:00"/>
    <x v="2"/>
    <n v="304"/>
    <n v="1"/>
  </r>
  <r>
    <x v="87"/>
    <s v="Riley"/>
    <s v="Clark"/>
    <x v="1"/>
    <s v="MA I"/>
    <s v="Seattle Clinic"/>
    <d v="2022-08-25T00:00:00"/>
    <m/>
    <x v="1"/>
    <n v="0.5"/>
    <x v="2"/>
    <x v="1"/>
    <d v="2022-08-01T00:00:00"/>
    <x v="2"/>
    <n v="1164"/>
    <n v="1"/>
  </r>
  <r>
    <x v="88"/>
    <s v="Hayden"/>
    <s v="Garcia"/>
    <x v="0"/>
    <s v="CNA"/>
    <s v="Renton Clinic"/>
    <d v="2022-08-02T00:00:00"/>
    <d v="2022-10-01T00:00:00"/>
    <x v="1"/>
    <n v="0.4"/>
    <x v="1"/>
    <x v="0"/>
    <d v="2022-08-01T00:00:00"/>
    <x v="20"/>
    <n v="60"/>
    <n v="0"/>
  </r>
  <r>
    <x v="89"/>
    <s v="Quinn"/>
    <s v="Lee"/>
    <x v="3"/>
    <s v="Psychiatric ARNP"/>
    <s v="Bellevue Clinic"/>
    <d v="2023-02-06T00:00:00"/>
    <d v="2023-06-18T00:00:00"/>
    <x v="2"/>
    <n v="0.2"/>
    <x v="0"/>
    <x v="0"/>
    <d v="2023-02-01T00:00:00"/>
    <x v="21"/>
    <n v="132"/>
    <n v="0"/>
  </r>
  <r>
    <x v="90"/>
    <s v="Morgan"/>
    <s v="Anderson"/>
    <x v="2"/>
    <s v="Clinic Administrator"/>
    <s v="Renton Clinic"/>
    <d v="2024-04-15T00:00:00"/>
    <m/>
    <x v="1"/>
    <n v="0.5"/>
    <x v="2"/>
    <x v="1"/>
    <d v="2024-04-01T00:00:00"/>
    <x v="2"/>
    <n v="565"/>
    <n v="1"/>
  </r>
  <r>
    <x v="91"/>
    <s v="Pat"/>
    <s v="Martinez"/>
    <x v="0"/>
    <s v="RN"/>
    <s v="Bellevue Clinic"/>
    <d v="2022-01-06T00:00:00"/>
    <m/>
    <x v="2"/>
    <n v="0.3"/>
    <x v="2"/>
    <x v="1"/>
    <d v="2022-01-01T00:00:00"/>
    <x v="2"/>
    <n v="1395"/>
    <n v="1"/>
  </r>
  <r>
    <x v="92"/>
    <s v="Casey"/>
    <s v="Smith"/>
    <x v="4"/>
    <s v="IT Support Specialist"/>
    <s v="Bellevue Clinic"/>
    <d v="2023-10-05T00:00:00"/>
    <m/>
    <x v="1"/>
    <n v="0.4"/>
    <x v="2"/>
    <x v="1"/>
    <d v="2023-10-01T00:00:00"/>
    <x v="2"/>
    <n v="758"/>
    <n v="1"/>
  </r>
  <r>
    <x v="93"/>
    <s v="Taylor"/>
    <s v="Patel"/>
    <x v="1"/>
    <s v="Lead Medical Assistant"/>
    <s v="Tacoma Clinic"/>
    <d v="2023-10-18T00:00:00"/>
    <m/>
    <x v="1"/>
    <n v="0.5"/>
    <x v="2"/>
    <x v="1"/>
    <d v="2023-10-01T00:00:00"/>
    <x v="2"/>
    <n v="745"/>
    <n v="1"/>
  </r>
  <r>
    <x v="94"/>
    <s v="Pat"/>
    <s v="Davis"/>
    <x v="3"/>
    <s v="Therapist"/>
    <s v="Seattle Clinic"/>
    <d v="2022-09-07T00:00:00"/>
    <d v="2025-09-22T00:00:00"/>
    <x v="1"/>
    <n v="0.5"/>
    <x v="0"/>
    <x v="0"/>
    <d v="2022-09-01T00:00:00"/>
    <x v="10"/>
    <n v="1111"/>
    <n v="0"/>
  </r>
  <r>
    <x v="95"/>
    <s v="Chris"/>
    <s v="Wilson"/>
    <x v="2"/>
    <s v="Office Assistant"/>
    <s v="Renton Clinic"/>
    <d v="2023-04-14T00:00:00"/>
    <m/>
    <x v="0"/>
    <n v="0.9"/>
    <x v="2"/>
    <x v="1"/>
    <d v="2023-04-01T00:00:00"/>
    <x v="2"/>
    <n v="932"/>
    <n v="1"/>
  </r>
  <r>
    <x v="96"/>
    <s v="Pat"/>
    <s v="Johnson"/>
    <x v="0"/>
    <s v="RN"/>
    <s v="Tacoma Clinic"/>
    <d v="2022-12-21T00:00:00"/>
    <m/>
    <x v="2"/>
    <n v="0.1"/>
    <x v="2"/>
    <x v="1"/>
    <d v="2022-12-01T00:00:00"/>
    <x v="2"/>
    <n v="1046"/>
    <n v="1"/>
  </r>
  <r>
    <x v="97"/>
    <s v="Chris"/>
    <s v="Johnson"/>
    <x v="3"/>
    <s v="Psychiatric ARNP"/>
    <s v="Renton Clinic"/>
    <d v="2025-08-26T00:00:00"/>
    <m/>
    <x v="1"/>
    <n v="0.6"/>
    <x v="2"/>
    <x v="1"/>
    <d v="2025-08-01T00:00:00"/>
    <x v="2"/>
    <n v="67"/>
    <n v="1"/>
  </r>
  <r>
    <x v="98"/>
    <s v="Jesse"/>
    <s v="Anderson"/>
    <x v="4"/>
    <s v="BI Developer"/>
    <s v="Tacoma Clinic"/>
    <d v="2023-04-14T00:00:00"/>
    <m/>
    <x v="1"/>
    <n v="0.7"/>
    <x v="2"/>
    <x v="1"/>
    <d v="2023-04-01T00:00:00"/>
    <x v="2"/>
    <n v="932"/>
    <n v="1"/>
  </r>
  <r>
    <x v="99"/>
    <s v="Casey"/>
    <s v="Martinez"/>
    <x v="1"/>
    <s v="MA I"/>
    <s v="Tacoma Clinic"/>
    <d v="2024-11-04T00:00:00"/>
    <m/>
    <x v="2"/>
    <n v="0.1"/>
    <x v="2"/>
    <x v="1"/>
    <d v="2024-11-01T00:00:00"/>
    <x v="2"/>
    <n v="36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833C0C-839B-4E59-9C03-44580200B9EE}" name="PivotTable2" cacheId="10" applyNumberFormats="0" applyBorderFormats="0" applyFontFormats="0" applyPatternFormats="0" applyAlignmentFormats="0" applyWidthHeightFormats="1" dataCaption="Values" grandTotalCaption="Year Total" missingCaption="0" updatedVersion="8" minRefreshableVersion="3" useAutoFormatting="1" itemPrintTitles="1" createdVersion="8" indent="0" outline="1" outlineData="1" multipleFieldFilters="0" chartFormat="12" rowHeaderCaption="Date" colHeaderCaption="Department">
  <location ref="A4:G10" firstHeaderRow="1" firstDataRow="2" firstDataCol="1" rowPageCount="1" colPageCount="1"/>
  <pivotFields count="1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Col" showAll="0">
      <items count="6">
        <item x="2"/>
        <item x="3"/>
        <item x="4"/>
        <item x="1"/>
        <item x="0"/>
        <item t="default"/>
      </items>
    </pivotField>
    <pivotField showAll="0"/>
    <pivotField showAll="0"/>
    <pivotField numFmtId="14" showAll="0"/>
    <pivotField showAll="0"/>
    <pivotField showAll="0">
      <items count="4">
        <item x="0"/>
        <item x="1"/>
        <item x="2"/>
        <item t="default"/>
      </items>
    </pivotField>
    <pivotField showAll="0"/>
    <pivotField axis="axisPage" showAll="0">
      <items count="5">
        <item x="1"/>
        <item x="3"/>
        <item x="0"/>
        <item x="2"/>
        <item t="default"/>
      </items>
    </pivotField>
    <pivotField showAll="0"/>
    <pivotField numFmtId="14" showAll="0"/>
    <pivotField showAll="0">
      <items count="23">
        <item x="6"/>
        <item h="1" x="20"/>
        <item h="1" x="19"/>
        <item h="1" x="21"/>
        <item h="1" x="17"/>
        <item h="1" x="11"/>
        <item h="1" x="13"/>
        <item h="1" x="4"/>
        <item h="1" x="14"/>
        <item h="1" x="7"/>
        <item h="1" x="5"/>
        <item h="1" x="1"/>
        <item h="1" x="18"/>
        <item h="1" x="15"/>
        <item h="1" x="9"/>
        <item h="1" x="3"/>
        <item h="1" x="8"/>
        <item h="1" x="0"/>
        <item h="1" x="16"/>
        <item h="1" x="10"/>
        <item h="1" x="12"/>
        <item h="1" x="2"/>
        <item t="default"/>
      </items>
    </pivotField>
    <pivotField showAll="0"/>
    <pivotField numFmtId="1" showAll="0"/>
    <pivotField axis="axisRow" numFmtId="17"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sd="0" x="4"/>
        <item h="1" sd="0" x="5"/>
        <item t="default"/>
      </items>
    </pivotField>
  </pivotFields>
  <rowFields count="2">
    <field x="18"/>
    <field x="16"/>
  </rowFields>
  <rowItems count="5">
    <i>
      <x v="1"/>
    </i>
    <i>
      <x v="2"/>
    </i>
    <i>
      <x v="3"/>
    </i>
    <i>
      <x v="4"/>
    </i>
    <i t="grand">
      <x/>
    </i>
  </rowItems>
  <colFields count="1">
    <field x="3"/>
  </colFields>
  <colItems count="6">
    <i>
      <x/>
    </i>
    <i>
      <x v="1"/>
    </i>
    <i>
      <x v="2"/>
    </i>
    <i>
      <x v="3"/>
    </i>
    <i>
      <x v="4"/>
    </i>
    <i t="grand">
      <x/>
    </i>
  </colItems>
  <pageFields count="1">
    <pageField fld="10" hier="-1"/>
  </pageFields>
  <dataFields count="1">
    <dataField name="Count of EmployeeID" fld="0" subtotal="count" baseField="18" baseItem="3"/>
  </dataFields>
  <chartFormats count="12">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11" format="10" series="1">
      <pivotArea type="data" outline="0" fieldPosition="0">
        <references count="2">
          <reference field="4294967294" count="1" selected="0">
            <x v="0"/>
          </reference>
          <reference field="3" count="1" selected="0">
            <x v="0"/>
          </reference>
        </references>
      </pivotArea>
    </chartFormat>
    <chartFormat chart="11" format="11" series="1">
      <pivotArea type="data" outline="0" fieldPosition="0">
        <references count="2">
          <reference field="4294967294" count="1" selected="0">
            <x v="0"/>
          </reference>
          <reference field="3" count="1" selected="0">
            <x v="1"/>
          </reference>
        </references>
      </pivotArea>
    </chartFormat>
    <chartFormat chart="11" format="12" series="1">
      <pivotArea type="data" outline="0" fieldPosition="0">
        <references count="2">
          <reference field="4294967294" count="1" selected="0">
            <x v="0"/>
          </reference>
          <reference field="3" count="1" selected="0">
            <x v="2"/>
          </reference>
        </references>
      </pivotArea>
    </chartFormat>
    <chartFormat chart="11" format="13" series="1">
      <pivotArea type="data" outline="0" fieldPosition="0">
        <references count="2">
          <reference field="4294967294" count="1" selected="0">
            <x v="0"/>
          </reference>
          <reference field="3" count="1" selected="0">
            <x v="3"/>
          </reference>
        </references>
      </pivotArea>
    </chartFormat>
    <chartFormat chart="11" format="14" series="1">
      <pivotArea type="data" outline="0" fieldPosition="0">
        <references count="2">
          <reference field="4294967294" count="1" selected="0">
            <x v="0"/>
          </reference>
          <reference field="3" count="1" selected="0">
            <x v="4"/>
          </reference>
        </references>
      </pivotArea>
    </chartFormat>
    <chartFormat chart="11" format="1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97BF4F-A9D3-4807-9BBE-559F24831FC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10" firstHeaderRow="1" firstDataRow="1" firstDataCol="1" rowPageCount="1" colPageCount="1"/>
  <pivotFields count="19">
    <pivotField showAll="0"/>
    <pivotField showAll="0"/>
    <pivotField showAll="0"/>
    <pivotField axis="axisRow" showAll="0">
      <items count="6">
        <item x="2"/>
        <item x="3"/>
        <item x="4"/>
        <item x="1"/>
        <item x="0"/>
        <item t="default"/>
      </items>
    </pivotField>
    <pivotField showAll="0"/>
    <pivotField showAll="0"/>
    <pivotField numFmtId="14" showAll="0"/>
    <pivotField showAll="0"/>
    <pivotField showAll="0"/>
    <pivotField showAll="0"/>
    <pivotField showAll="0"/>
    <pivotField axis="axisPage" showAll="0">
      <items count="3">
        <item x="0"/>
        <item x="1"/>
        <item t="default"/>
      </items>
    </pivotField>
    <pivotField numFmtId="14" showAll="0"/>
    <pivotField showAll="0">
      <items count="23">
        <item x="6"/>
        <item x="20"/>
        <item x="19"/>
        <item x="21"/>
        <item x="17"/>
        <item x="11"/>
        <item x="13"/>
        <item x="4"/>
        <item x="14"/>
        <item x="7"/>
        <item x="5"/>
        <item x="1"/>
        <item x="18"/>
        <item x="15"/>
        <item x="9"/>
        <item x="3"/>
        <item x="8"/>
        <item x="0"/>
        <item x="16"/>
        <item x="10"/>
        <item x="12"/>
        <item x="2"/>
        <item t="default"/>
      </items>
    </pivotField>
    <pivotField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pageFields count="1">
    <pageField fld="11" item="1" hier="-1"/>
  </pageFields>
  <dataFields count="1">
    <dataField name="Headcount" fld="15" baseField="0" baseItem="0" numFmtId="1"/>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2F6173-C7B5-4154-9130-688DC4B10854}" name="PivotTable3" cacheId="10" applyNumberFormats="0" applyBorderFormats="0" applyFontFormats="0" applyPatternFormats="0" applyAlignmentFormats="0" applyWidthHeightFormats="1" dataCaption="Values" grandTotalCaption="Days" updatedVersion="8" minRefreshableVersion="3" useAutoFormatting="1" itemPrintTitles="1" createdVersion="8" indent="0" outline="1" outlineData="1" multipleFieldFilters="0" chartFormat="6">
  <location ref="A3:B9" firstHeaderRow="1" firstDataRow="1" firstDataCol="1"/>
  <pivotFields count="19">
    <pivotField showAll="0"/>
    <pivotField showAll="0"/>
    <pivotField showAll="0"/>
    <pivotField axis="axisRow" showAll="0">
      <items count="6">
        <item x="2"/>
        <item x="3"/>
        <item x="4"/>
        <item x="1"/>
        <item x="0"/>
        <item t="default"/>
      </items>
    </pivotField>
    <pivotField showAll="0"/>
    <pivotField showAll="0"/>
    <pivotField numFmtId="14" showAll="0"/>
    <pivotField showAll="0"/>
    <pivotField showAll="0"/>
    <pivotField showAll="0"/>
    <pivotField showAll="0"/>
    <pivotField showAll="0"/>
    <pivotField numFmtId="14" showAll="0"/>
    <pivotField showAll="0">
      <items count="23">
        <item x="6"/>
        <item x="20"/>
        <item x="19"/>
        <item x="21"/>
        <item x="17"/>
        <item x="11"/>
        <item x="13"/>
        <item x="4"/>
        <item x="14"/>
        <item x="7"/>
        <item x="5"/>
        <item x="1"/>
        <item x="18"/>
        <item x="15"/>
        <item x="9"/>
        <item x="3"/>
        <item x="8"/>
        <item x="0"/>
        <item x="16"/>
        <item x="10"/>
        <item x="12"/>
        <item x="2"/>
        <item t="default"/>
      </items>
    </pivotField>
    <pivotField dataField="1" showAll="0"/>
    <pivotField numFmtId="1" showAll="0"/>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Average of TenureDays" fld="14" subtotal="average" baseField="3"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E3176B-E184-4E23-912E-E5C7F4EBE5D1}" autoFormatId="16" applyNumberFormats="0" applyBorderFormats="0" applyFontFormats="0" applyPatternFormats="0" applyAlignmentFormats="0" applyWidthHeightFormats="0">
  <queryTableRefresh nextId="17" unboundColumnsRight="1">
    <queryTableFields count="16">
      <queryTableField id="1" name="EmployeeID" tableColumnId="1"/>
      <queryTableField id="2" name="FirstName" tableColumnId="2"/>
      <queryTableField id="3" name="LastName" tableColumnId="3"/>
      <queryTableField id="4" name="Department" tableColumnId="4"/>
      <queryTableField id="5" name="JobTitle" tableColumnId="5"/>
      <queryTableField id="6" name="Location" tableColumnId="6"/>
      <queryTableField id="7" name="HireDate" tableColumnId="7"/>
      <queryTableField id="8" name="TermDate" tableColumnId="8"/>
      <queryTableField id="9" name="EmploymentType" tableColumnId="9"/>
      <queryTableField id="10" name="FTE" tableColumnId="10"/>
      <queryTableField id="11" name="TerminationReason" tableColumnId="11"/>
      <queryTableField id="12" name="IsActive" tableColumnId="12"/>
      <queryTableField id="13" name="HireMonth" tableColumnId="13"/>
      <queryTableField id="14" name="TermMonth" tableColumnId="14"/>
      <queryTableField id="15" name="TenureDays"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9CCFB2A-4075-4BDB-9176-BFC97B372A5C}" sourceName="Department">
  <pivotTables>
    <pivotTable tabId="6" name="PivotTable2"/>
  </pivotTables>
  <data>
    <tabular pivotCacheId="1068546529">
      <items count="5">
        <i x="2" s="1"/>
        <i x="3"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53AD1AF9-724F-4DCB-A682-E7BF3DA58B82}" sourceName="EmploymentType">
  <pivotTables>
    <pivotTable tabId="6" name="PivotTable2"/>
  </pivotTables>
  <data>
    <tabular pivotCacheId="106854652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tionReason" xr10:uid="{AF8D2739-1E3A-4A1D-84D6-CCE685CFE863}" sourceName="TerminationReason">
  <pivotTables>
    <pivotTable tabId="6" name="PivotTable2"/>
  </pivotTables>
  <data>
    <tabular pivotCacheId="1068546529">
      <items count="4">
        <i x="1" s="1"/>
        <i x="3"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8B908DD-2BE7-4D3B-9BD2-C6B3B9FB634F}" cache="Slicer_Department" caption="Department" rowHeight="251883"/>
  <slicer name="EmploymentType" xr10:uid="{3D828E4B-1070-43F5-B2E1-D26E433FD12C}" cache="Slicer_EmploymentType" caption="EmploymentType" rowHeight="251883"/>
  <slicer name="TerminationReason" xr10:uid="{1031884E-5309-412E-ABAA-2BBA8AB5CC26}" cache="Slicer_TerminationReason" caption="TerminationReas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29F9BB-A7BB-4047-A0FD-B6DCEF55830E}" name="employees_model" displayName="employees_model" ref="A1:P102" tableType="queryTable" totalsRowCount="1">
  <autoFilter ref="A1:P101" xr:uid="{6D29F9BB-A7BB-4047-A0FD-B6DCEF55830E}"/>
  <tableColumns count="16">
    <tableColumn id="1" xr3:uid="{063844F4-57E2-4219-B17D-32BFC7B92C35}" uniqueName="1" name="EmployeeID" queryTableFieldId="1"/>
    <tableColumn id="2" xr3:uid="{F71581F1-F571-4FD8-8E4B-C77A1FE3FA69}" uniqueName="2" name="FirstName" queryTableFieldId="2" dataDxfId="22" totalsRowDxfId="23"/>
    <tableColumn id="3" xr3:uid="{9B09B75B-0BD4-4D02-B792-DC8502FA1CAC}" uniqueName="3" name="LastName" queryTableFieldId="3" dataDxfId="20" totalsRowDxfId="21"/>
    <tableColumn id="4" xr3:uid="{55EF2EAB-1671-4C52-B666-539A0AE69A4F}" uniqueName="4" name="Department" queryTableFieldId="4" dataDxfId="18" totalsRowDxfId="19"/>
    <tableColumn id="5" xr3:uid="{88F9D67A-A44C-4E3E-B1F7-92094C10BA98}" uniqueName="5" name="JobTitle" queryTableFieldId="5" dataDxfId="16" totalsRowDxfId="17"/>
    <tableColumn id="6" xr3:uid="{E2B517CF-6CE6-4ECC-AA0B-E995D10DCC9D}" uniqueName="6" name="Location" queryTableFieldId="6" dataDxfId="14" totalsRowDxfId="15"/>
    <tableColumn id="7" xr3:uid="{6D7F6A6F-E648-449F-A226-0AC53DAFF4B2}" uniqueName="7" name="HireDate" queryTableFieldId="7" dataDxfId="12" totalsRowDxfId="13"/>
    <tableColumn id="8" xr3:uid="{019E3256-F286-420D-A75E-579DED2420EA}" uniqueName="8" name="TermDate" queryTableFieldId="8" dataDxfId="10" totalsRowDxfId="11"/>
    <tableColumn id="9" xr3:uid="{97B98726-3DD2-4258-BCF9-71837BA8632F}" uniqueName="9" name="EmploymentType" queryTableFieldId="9" dataDxfId="8" totalsRowDxfId="9"/>
    <tableColumn id="10" xr3:uid="{E98600DF-2A78-4534-9397-527BF5633F2E}" uniqueName="10" name="FTE" queryTableFieldId="10"/>
    <tableColumn id="11" xr3:uid="{00CF4036-E7D7-4148-A019-49F7A3E61259}" uniqueName="11" name="TerminationReason" queryTableFieldId="11" dataDxfId="6" totalsRowDxfId="7"/>
    <tableColumn id="12" xr3:uid="{2445D6A8-BB7B-4419-9F8A-2337C7E0C694}" uniqueName="12" name="IsActive" queryTableFieldId="12"/>
    <tableColumn id="13" xr3:uid="{63729493-6F34-469D-AD0D-0E71205850D7}" uniqueName="13" name="HireMonth" queryTableFieldId="13" dataDxfId="4" totalsRowDxfId="5"/>
    <tableColumn id="14" xr3:uid="{41C4A0EB-9CE6-4DEA-B1A0-E10C21ED9FE2}" uniqueName="14" name="TermMonth" queryTableFieldId="14" dataDxfId="2" totalsRowDxfId="3"/>
    <tableColumn id="15" xr3:uid="{DDE37E98-47E3-46F7-95B5-1CEEA40447BE}" uniqueName="15" name="TenureDays" queryTableFieldId="15"/>
    <tableColumn id="16" xr3:uid="{F0B159B8-0848-49AB-BD2A-5506D1E8DD87}" uniqueName="16" name="HeadCountFlag" totalsRowFunction="custom" queryTableFieldId="16" dataDxfId="0" totalsRowDxfId="1">
      <calculatedColumnFormula>IF(employees_model[[#This Row],[IsActive]]="Yes",1,0)</calculatedColumnFormula>
      <totalsRowFormula>"active = " &amp; SUM(employees_model[HeadCountFlag])</totalsRow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183C8E-8C22-48DC-AE03-CF589EAF39C8}" name="EmployeesRaw3" displayName="EmployeesRaw3" ref="A1:K101" totalsRowShown="0" headerRowDxfId="26">
  <autoFilter ref="A1:K101" xr:uid="{F4C1893C-F556-4AD2-931C-F92B56F3FF62}"/>
  <tableColumns count="11">
    <tableColumn id="1" xr3:uid="{3893A6D1-C536-49D8-B5A8-F63C4D909C12}" name="EmployeeID"/>
    <tableColumn id="2" xr3:uid="{C72CA14B-A29E-48AA-9178-AEA4A142C7A2}" name="FirstName"/>
    <tableColumn id="3" xr3:uid="{B8E87665-54E8-47F0-8035-27345F28D6AB}" name="LastName"/>
    <tableColumn id="4" xr3:uid="{687288DF-91B0-4658-8CF9-630AC841D8BF}" name="Department"/>
    <tableColumn id="5" xr3:uid="{381C2EBE-90CC-4436-89CF-A9FF54E50940}" name="JobTitle"/>
    <tableColumn id="6" xr3:uid="{91EB741E-945D-4469-A20C-E91A42946AE4}" name="Location"/>
    <tableColumn id="7" xr3:uid="{8255AA94-8F9A-42B9-8D3F-F4348233FAD7}" name="HireDate" dataDxfId="25"/>
    <tableColumn id="8" xr3:uid="{8573040A-D8BF-4BA9-B015-020585F82941}" name="TermDate" dataDxfId="24"/>
    <tableColumn id="9" xr3:uid="{632A3F77-671B-4E79-A9B5-C97864EE9B67}" name="EmploymentType"/>
    <tableColumn id="10" xr3:uid="{D25229FB-CFDE-4DB0-9C78-12CE8E72909F}" name="FTE"/>
    <tableColumn id="11" xr3:uid="{5177AAD4-1747-467F-9145-2EB0D9F5D355}" name="Termination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CA65E-6241-4903-9A73-F19D5F9243F2}">
  <dimension ref="A1"/>
  <sheetViews>
    <sheetView tabSelected="1" zoomScaleNormal="100" workbookViewId="0">
      <selection activeCell="AD20" sqref="AD20"/>
    </sheetView>
  </sheetViews>
  <sheetFormatPr defaultRowHeight="14.75" x14ac:dyDescent="0.7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11D4-2CBC-471C-8CEE-75E2C444BA44}">
  <dimension ref="A2:G10"/>
  <sheetViews>
    <sheetView zoomScale="93" workbookViewId="0">
      <selection activeCell="E5" sqref="E5"/>
    </sheetView>
  </sheetViews>
  <sheetFormatPr defaultRowHeight="14.75" x14ac:dyDescent="0.75"/>
  <cols>
    <col min="1" max="1" width="18.86328125" bestFit="1" customWidth="1"/>
    <col min="2" max="2" width="13.40625" bestFit="1" customWidth="1"/>
    <col min="3" max="3" width="16.1328125" bestFit="1" customWidth="1"/>
    <col min="4" max="4" width="11.76953125" bestFit="1" customWidth="1"/>
    <col min="5" max="5" width="16.81640625" bestFit="1" customWidth="1"/>
    <col min="6" max="6" width="7.40625" bestFit="1" customWidth="1"/>
    <col min="7" max="7" width="9.31640625" bestFit="1" customWidth="1"/>
  </cols>
  <sheetData>
    <row r="2" spans="1:7" x14ac:dyDescent="0.75">
      <c r="A2" s="7" t="s">
        <v>10</v>
      </c>
      <c r="B2" s="9" t="s">
        <v>83</v>
      </c>
    </row>
    <row r="4" spans="1:7" x14ac:dyDescent="0.75">
      <c r="A4" s="7" t="s">
        <v>89</v>
      </c>
      <c r="B4" s="7" t="s">
        <v>3</v>
      </c>
    </row>
    <row r="5" spans="1:7" x14ac:dyDescent="0.75">
      <c r="A5" s="7" t="s">
        <v>90</v>
      </c>
      <c r="B5" s="9" t="s">
        <v>25</v>
      </c>
      <c r="C5" s="9" t="s">
        <v>30</v>
      </c>
      <c r="D5" s="9" t="s">
        <v>41</v>
      </c>
      <c r="E5" s="9" t="s">
        <v>20</v>
      </c>
      <c r="F5" s="9" t="s">
        <v>13</v>
      </c>
      <c r="G5" s="9" t="s">
        <v>91</v>
      </c>
    </row>
    <row r="6" spans="1:7" x14ac:dyDescent="0.75">
      <c r="A6" s="8" t="s">
        <v>85</v>
      </c>
      <c r="B6" s="5">
        <v>0</v>
      </c>
      <c r="C6" s="5">
        <v>0</v>
      </c>
      <c r="D6" s="5">
        <v>0</v>
      </c>
      <c r="E6" s="5">
        <v>0</v>
      </c>
      <c r="F6" s="5">
        <v>2</v>
      </c>
      <c r="G6" s="5">
        <v>2</v>
      </c>
    </row>
    <row r="7" spans="1:7" x14ac:dyDescent="0.75">
      <c r="A7" s="8" t="s">
        <v>86</v>
      </c>
      <c r="B7" s="5">
        <v>1</v>
      </c>
      <c r="C7" s="5">
        <v>2</v>
      </c>
      <c r="D7" s="5">
        <v>2</v>
      </c>
      <c r="E7" s="5">
        <v>2</v>
      </c>
      <c r="F7" s="5">
        <v>0</v>
      </c>
      <c r="G7" s="5">
        <v>7</v>
      </c>
    </row>
    <row r="8" spans="1:7" x14ac:dyDescent="0.75">
      <c r="A8" s="8" t="s">
        <v>87</v>
      </c>
      <c r="B8" s="5">
        <v>3</v>
      </c>
      <c r="C8" s="5">
        <v>1</v>
      </c>
      <c r="D8" s="5">
        <v>1</v>
      </c>
      <c r="E8" s="5">
        <v>4</v>
      </c>
      <c r="F8" s="5">
        <v>1</v>
      </c>
      <c r="G8" s="5">
        <v>10</v>
      </c>
    </row>
    <row r="9" spans="1:7" x14ac:dyDescent="0.75">
      <c r="A9" s="8" t="s">
        <v>88</v>
      </c>
      <c r="B9" s="5">
        <v>2</v>
      </c>
      <c r="C9" s="5">
        <v>6</v>
      </c>
      <c r="D9" s="5">
        <v>0</v>
      </c>
      <c r="E9" s="5">
        <v>3</v>
      </c>
      <c r="F9" s="5">
        <v>3</v>
      </c>
      <c r="G9" s="5">
        <v>14</v>
      </c>
    </row>
    <row r="10" spans="1:7" x14ac:dyDescent="0.75">
      <c r="A10" s="8" t="s">
        <v>91</v>
      </c>
      <c r="B10" s="5">
        <v>6</v>
      </c>
      <c r="C10" s="5">
        <v>9</v>
      </c>
      <c r="D10" s="5">
        <v>3</v>
      </c>
      <c r="E10" s="5">
        <v>9</v>
      </c>
      <c r="F10" s="5">
        <v>6</v>
      </c>
      <c r="G10" s="5">
        <v>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3E05-8D9F-4FE3-9A11-A179DCD53DFA}">
  <dimension ref="A2:B10"/>
  <sheetViews>
    <sheetView workbookViewId="0">
      <selection activeCell="O10" sqref="O10"/>
    </sheetView>
  </sheetViews>
  <sheetFormatPr defaultRowHeight="14.75" x14ac:dyDescent="0.75"/>
  <cols>
    <col min="1" max="1" width="16.953125" bestFit="1" customWidth="1"/>
    <col min="2" max="2" width="10.26953125" bestFit="1" customWidth="1"/>
  </cols>
  <sheetData>
    <row r="2" spans="1:2" x14ac:dyDescent="0.75">
      <c r="A2" s="7" t="s">
        <v>74</v>
      </c>
      <c r="B2" s="9" t="s">
        <v>79</v>
      </c>
    </row>
    <row r="4" spans="1:2" x14ac:dyDescent="0.75">
      <c r="A4" s="7" t="s">
        <v>81</v>
      </c>
      <c r="B4" t="s">
        <v>84</v>
      </c>
    </row>
    <row r="5" spans="1:2" x14ac:dyDescent="0.75">
      <c r="A5" s="8" t="s">
        <v>25</v>
      </c>
      <c r="B5" s="6">
        <v>9</v>
      </c>
    </row>
    <row r="6" spans="1:2" x14ac:dyDescent="0.75">
      <c r="A6" s="8" t="s">
        <v>30</v>
      </c>
      <c r="B6" s="6">
        <v>13</v>
      </c>
    </row>
    <row r="7" spans="1:2" x14ac:dyDescent="0.75">
      <c r="A7" s="8" t="s">
        <v>41</v>
      </c>
      <c r="B7" s="6">
        <v>10</v>
      </c>
    </row>
    <row r="8" spans="1:2" x14ac:dyDescent="0.75">
      <c r="A8" s="8" t="s">
        <v>20</v>
      </c>
      <c r="B8" s="6">
        <v>21</v>
      </c>
    </row>
    <row r="9" spans="1:2" x14ac:dyDescent="0.75">
      <c r="A9" s="8" t="s">
        <v>13</v>
      </c>
      <c r="B9" s="6">
        <v>14</v>
      </c>
    </row>
    <row r="10" spans="1:2" x14ac:dyDescent="0.75">
      <c r="A10" s="8" t="s">
        <v>82</v>
      </c>
      <c r="B10" s="6">
        <v>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5964F-8DFC-4EC9-9B33-AB61A14B10C0}">
  <dimension ref="A3:B9"/>
  <sheetViews>
    <sheetView workbookViewId="0">
      <selection activeCell="M16" sqref="M16"/>
    </sheetView>
  </sheetViews>
  <sheetFormatPr defaultRowHeight="14.75" x14ac:dyDescent="0.75"/>
  <cols>
    <col min="1" max="1" width="16.953125" bestFit="1" customWidth="1"/>
    <col min="2" max="2" width="20.90625" bestFit="1" customWidth="1"/>
  </cols>
  <sheetData>
    <row r="3" spans="1:2" x14ac:dyDescent="0.75">
      <c r="A3" s="7" t="s">
        <v>81</v>
      </c>
      <c r="B3" t="s">
        <v>92</v>
      </c>
    </row>
    <row r="4" spans="1:2" x14ac:dyDescent="0.75">
      <c r="A4" s="8" t="s">
        <v>25</v>
      </c>
      <c r="B4" s="5">
        <v>574.20000000000005</v>
      </c>
    </row>
    <row r="5" spans="1:2" x14ac:dyDescent="0.75">
      <c r="A5" s="8" t="s">
        <v>30</v>
      </c>
      <c r="B5" s="5">
        <v>771.5</v>
      </c>
    </row>
    <row r="6" spans="1:2" x14ac:dyDescent="0.75">
      <c r="A6" s="8" t="s">
        <v>41</v>
      </c>
      <c r="B6" s="5">
        <v>543.76923076923072</v>
      </c>
    </row>
    <row r="7" spans="1:2" x14ac:dyDescent="0.75">
      <c r="A7" s="8" t="s">
        <v>20</v>
      </c>
      <c r="B7" s="5">
        <v>526.5</v>
      </c>
    </row>
    <row r="8" spans="1:2" x14ac:dyDescent="0.75">
      <c r="A8" s="8" t="s">
        <v>13</v>
      </c>
      <c r="B8" s="5">
        <v>742.55</v>
      </c>
    </row>
    <row r="9" spans="1:2" x14ac:dyDescent="0.75">
      <c r="A9" s="8" t="s">
        <v>93</v>
      </c>
      <c r="B9" s="5">
        <v>633.01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6882-C099-48AE-A59C-03DA3D40886C}">
  <dimension ref="A1:P102"/>
  <sheetViews>
    <sheetView workbookViewId="0">
      <selection activeCell="K4" sqref="K4"/>
    </sheetView>
  </sheetViews>
  <sheetFormatPr defaultRowHeight="14.75" x14ac:dyDescent="0.75"/>
  <cols>
    <col min="1" max="1" width="12.953125" bestFit="1" customWidth="1"/>
    <col min="2" max="2" width="11.5" bestFit="1" customWidth="1"/>
    <col min="3" max="3" width="11.26953125" bestFit="1" customWidth="1"/>
    <col min="4" max="4" width="15.54296875" bestFit="1" customWidth="1"/>
    <col min="5" max="5" width="23" bestFit="1" customWidth="1"/>
    <col min="6" max="6" width="12.453125" bestFit="1" customWidth="1"/>
    <col min="7" max="7" width="10.36328125" bestFit="1" customWidth="1"/>
    <col min="8" max="8" width="11.04296875" bestFit="1" customWidth="1"/>
    <col min="9" max="9" width="17.31640625" bestFit="1" customWidth="1"/>
    <col min="10" max="10" width="5.86328125" bestFit="1" customWidth="1"/>
    <col min="11" max="11" width="19.1328125" bestFit="1" customWidth="1"/>
    <col min="12" max="12" width="9.54296875" bestFit="1" customWidth="1"/>
    <col min="13" max="13" width="11.6796875" bestFit="1" customWidth="1"/>
    <col min="14" max="14" width="12.36328125" style="10" bestFit="1" customWidth="1"/>
    <col min="15" max="15" width="12.58984375" customWidth="1"/>
  </cols>
  <sheetData>
    <row r="1" spans="1:16" x14ac:dyDescent="0.75">
      <c r="A1" t="s">
        <v>0</v>
      </c>
      <c r="B1" t="s">
        <v>1</v>
      </c>
      <c r="C1" t="s">
        <v>2</v>
      </c>
      <c r="D1" t="s">
        <v>3</v>
      </c>
      <c r="E1" t="s">
        <v>4</v>
      </c>
      <c r="F1" t="s">
        <v>5</v>
      </c>
      <c r="G1" t="s">
        <v>6</v>
      </c>
      <c r="H1" t="s">
        <v>7</v>
      </c>
      <c r="I1" t="s">
        <v>8</v>
      </c>
      <c r="J1" t="s">
        <v>9</v>
      </c>
      <c r="K1" t="s">
        <v>10</v>
      </c>
      <c r="L1" t="s">
        <v>74</v>
      </c>
      <c r="M1" t="s">
        <v>75</v>
      </c>
      <c r="N1" s="5" t="s">
        <v>76</v>
      </c>
      <c r="O1" t="s">
        <v>77</v>
      </c>
      <c r="P1" s="6" t="s">
        <v>80</v>
      </c>
    </row>
    <row r="2" spans="1:16" x14ac:dyDescent="0.75">
      <c r="A2">
        <v>1000</v>
      </c>
      <c r="B2" s="5" t="s">
        <v>11</v>
      </c>
      <c r="C2" s="5" t="s">
        <v>12</v>
      </c>
      <c r="D2" s="5" t="s">
        <v>13</v>
      </c>
      <c r="E2" s="5" t="s">
        <v>14</v>
      </c>
      <c r="F2" s="5" t="s">
        <v>15</v>
      </c>
      <c r="G2" s="2">
        <v>45623</v>
      </c>
      <c r="H2" s="2">
        <v>45822</v>
      </c>
      <c r="I2" s="5" t="s">
        <v>16</v>
      </c>
      <c r="J2">
        <v>1</v>
      </c>
      <c r="K2" s="5" t="s">
        <v>17</v>
      </c>
      <c r="L2" t="s">
        <v>78</v>
      </c>
      <c r="M2" s="10">
        <v>45597</v>
      </c>
      <c r="N2" s="10">
        <v>45809</v>
      </c>
      <c r="O2">
        <v>199</v>
      </c>
      <c r="P2" s="6">
        <f>IF(employees_model[[#This Row],[IsActive]]="Yes",1,0)</f>
        <v>0</v>
      </c>
    </row>
    <row r="3" spans="1:16" x14ac:dyDescent="0.75">
      <c r="A3">
        <v>1001</v>
      </c>
      <c r="B3" s="5" t="s">
        <v>18</v>
      </c>
      <c r="C3" s="5" t="s">
        <v>19</v>
      </c>
      <c r="D3" s="5" t="s">
        <v>20</v>
      </c>
      <c r="E3" s="5" t="s">
        <v>21</v>
      </c>
      <c r="F3" s="5" t="s">
        <v>15</v>
      </c>
      <c r="G3" s="2">
        <v>45363</v>
      </c>
      <c r="H3" s="2">
        <v>45445</v>
      </c>
      <c r="I3" s="5" t="s">
        <v>16</v>
      </c>
      <c r="J3">
        <v>1</v>
      </c>
      <c r="K3" s="5" t="s">
        <v>22</v>
      </c>
      <c r="L3" t="s">
        <v>78</v>
      </c>
      <c r="M3" s="10">
        <v>45352</v>
      </c>
      <c r="N3" s="10">
        <v>45444</v>
      </c>
      <c r="O3">
        <v>82</v>
      </c>
      <c r="P3" s="6">
        <f>IF(employees_model[[#This Row],[IsActive]]="Yes",1,0)</f>
        <v>0</v>
      </c>
    </row>
    <row r="4" spans="1:16" x14ac:dyDescent="0.75">
      <c r="A4">
        <v>1002</v>
      </c>
      <c r="B4" s="5" t="s">
        <v>23</v>
      </c>
      <c r="C4" s="5" t="s">
        <v>24</v>
      </c>
      <c r="D4" s="5" t="s">
        <v>25</v>
      </c>
      <c r="E4" s="5" t="s">
        <v>26</v>
      </c>
      <c r="F4" s="5" t="s">
        <v>27</v>
      </c>
      <c r="G4" s="2">
        <v>45771</v>
      </c>
      <c r="H4" s="2"/>
      <c r="I4" s="5" t="s">
        <v>16</v>
      </c>
      <c r="J4">
        <v>1</v>
      </c>
      <c r="K4" s="5"/>
      <c r="L4" t="s">
        <v>79</v>
      </c>
      <c r="M4" s="10">
        <v>45748</v>
      </c>
      <c r="O4">
        <v>191</v>
      </c>
      <c r="P4" s="6">
        <f>IF(employees_model[[#This Row],[IsActive]]="Yes",1,0)</f>
        <v>1</v>
      </c>
    </row>
    <row r="5" spans="1:16" x14ac:dyDescent="0.75">
      <c r="A5">
        <v>1003</v>
      </c>
      <c r="B5" s="5" t="s">
        <v>28</v>
      </c>
      <c r="C5" s="5" t="s">
        <v>29</v>
      </c>
      <c r="D5" s="5" t="s">
        <v>30</v>
      </c>
      <c r="E5" s="5" t="s">
        <v>31</v>
      </c>
      <c r="F5" s="5" t="s">
        <v>27</v>
      </c>
      <c r="G5" s="2">
        <v>44566</v>
      </c>
      <c r="H5" s="2">
        <v>45732</v>
      </c>
      <c r="I5" s="5" t="s">
        <v>16</v>
      </c>
      <c r="J5">
        <v>1</v>
      </c>
      <c r="K5" s="5" t="s">
        <v>22</v>
      </c>
      <c r="L5" t="s">
        <v>78</v>
      </c>
      <c r="M5" s="10">
        <v>44562</v>
      </c>
      <c r="N5" s="10">
        <v>45717</v>
      </c>
      <c r="O5">
        <v>1166</v>
      </c>
      <c r="P5" s="6">
        <f>IF(employees_model[[#This Row],[IsActive]]="Yes",1,0)</f>
        <v>0</v>
      </c>
    </row>
    <row r="6" spans="1:16" x14ac:dyDescent="0.75">
      <c r="A6">
        <v>1004</v>
      </c>
      <c r="B6" s="5" t="s">
        <v>23</v>
      </c>
      <c r="C6" s="5" t="s">
        <v>32</v>
      </c>
      <c r="D6" s="5" t="s">
        <v>25</v>
      </c>
      <c r="E6" s="5" t="s">
        <v>26</v>
      </c>
      <c r="F6" s="5" t="s">
        <v>15</v>
      </c>
      <c r="G6" s="2">
        <v>44569</v>
      </c>
      <c r="H6" s="2"/>
      <c r="I6" s="5" t="s">
        <v>16</v>
      </c>
      <c r="J6">
        <v>0.9</v>
      </c>
      <c r="K6" s="5"/>
      <c r="L6" t="s">
        <v>79</v>
      </c>
      <c r="M6" s="10">
        <v>44562</v>
      </c>
      <c r="O6">
        <v>1393</v>
      </c>
      <c r="P6" s="6">
        <f>IF(employees_model[[#This Row],[IsActive]]="Yes",1,0)</f>
        <v>1</v>
      </c>
    </row>
    <row r="7" spans="1:16" x14ac:dyDescent="0.75">
      <c r="A7">
        <v>1005</v>
      </c>
      <c r="B7" s="5" t="s">
        <v>28</v>
      </c>
      <c r="C7" s="5" t="s">
        <v>33</v>
      </c>
      <c r="D7" s="5" t="s">
        <v>20</v>
      </c>
      <c r="E7" s="5" t="s">
        <v>34</v>
      </c>
      <c r="F7" s="5" t="s">
        <v>35</v>
      </c>
      <c r="G7" s="2">
        <v>45757</v>
      </c>
      <c r="H7" s="2"/>
      <c r="I7" s="5" t="s">
        <v>36</v>
      </c>
      <c r="J7">
        <v>0.7</v>
      </c>
      <c r="K7" s="5"/>
      <c r="L7" t="s">
        <v>79</v>
      </c>
      <c r="M7" s="10">
        <v>45748</v>
      </c>
      <c r="O7">
        <v>205</v>
      </c>
      <c r="P7" s="6">
        <f>IF(employees_model[[#This Row],[IsActive]]="Yes",1,0)</f>
        <v>1</v>
      </c>
    </row>
    <row r="8" spans="1:16" x14ac:dyDescent="0.75">
      <c r="A8">
        <v>1006</v>
      </c>
      <c r="B8" s="5" t="s">
        <v>37</v>
      </c>
      <c r="C8" s="5" t="s">
        <v>24</v>
      </c>
      <c r="D8" s="5" t="s">
        <v>20</v>
      </c>
      <c r="E8" s="5" t="s">
        <v>34</v>
      </c>
      <c r="F8" s="5" t="s">
        <v>15</v>
      </c>
      <c r="G8" s="2">
        <v>45486</v>
      </c>
      <c r="H8" s="2"/>
      <c r="I8" s="5" t="s">
        <v>38</v>
      </c>
      <c r="J8">
        <v>0.2</v>
      </c>
      <c r="K8" s="5"/>
      <c r="L8" t="s">
        <v>79</v>
      </c>
      <c r="M8" s="10">
        <v>45474</v>
      </c>
      <c r="O8">
        <v>476</v>
      </c>
      <c r="P8" s="6">
        <f>IF(employees_model[[#This Row],[IsActive]]="Yes",1,0)</f>
        <v>1</v>
      </c>
    </row>
    <row r="9" spans="1:16" x14ac:dyDescent="0.75">
      <c r="A9">
        <v>1007</v>
      </c>
      <c r="B9" s="5" t="s">
        <v>39</v>
      </c>
      <c r="C9" s="5" t="s">
        <v>29</v>
      </c>
      <c r="D9" s="5" t="s">
        <v>20</v>
      </c>
      <c r="E9" s="5" t="s">
        <v>40</v>
      </c>
      <c r="F9" s="5" t="s">
        <v>15</v>
      </c>
      <c r="G9" s="2">
        <v>45509</v>
      </c>
      <c r="H9" s="2"/>
      <c r="I9" s="5" t="s">
        <v>38</v>
      </c>
      <c r="J9">
        <v>0.2</v>
      </c>
      <c r="K9" s="5"/>
      <c r="L9" t="s">
        <v>79</v>
      </c>
      <c r="M9" s="10">
        <v>45505</v>
      </c>
      <c r="O9">
        <v>453</v>
      </c>
      <c r="P9" s="6">
        <f>IF(employees_model[[#This Row],[IsActive]]="Yes",1,0)</f>
        <v>1</v>
      </c>
    </row>
    <row r="10" spans="1:16" x14ac:dyDescent="0.75">
      <c r="A10">
        <v>1008</v>
      </c>
      <c r="B10" s="5" t="s">
        <v>37</v>
      </c>
      <c r="C10" s="5" t="s">
        <v>19</v>
      </c>
      <c r="D10" s="5" t="s">
        <v>41</v>
      </c>
      <c r="E10" s="5" t="s">
        <v>42</v>
      </c>
      <c r="F10" s="5" t="s">
        <v>43</v>
      </c>
      <c r="G10" s="2">
        <v>45670</v>
      </c>
      <c r="H10" s="2"/>
      <c r="I10" s="5" t="s">
        <v>16</v>
      </c>
      <c r="J10">
        <v>0.9</v>
      </c>
      <c r="K10" s="5"/>
      <c r="L10" t="s">
        <v>79</v>
      </c>
      <c r="M10" s="10">
        <v>45658</v>
      </c>
      <c r="O10">
        <v>292</v>
      </c>
      <c r="P10" s="6">
        <f>IF(employees_model[[#This Row],[IsActive]]="Yes",1,0)</f>
        <v>1</v>
      </c>
    </row>
    <row r="11" spans="1:16" x14ac:dyDescent="0.75">
      <c r="A11">
        <v>1009</v>
      </c>
      <c r="B11" s="5" t="s">
        <v>44</v>
      </c>
      <c r="C11" s="5" t="s">
        <v>45</v>
      </c>
      <c r="D11" s="5" t="s">
        <v>30</v>
      </c>
      <c r="E11" s="5" t="s">
        <v>46</v>
      </c>
      <c r="F11" s="5" t="s">
        <v>27</v>
      </c>
      <c r="G11" s="2">
        <v>45444</v>
      </c>
      <c r="H11" s="2"/>
      <c r="I11" s="5" t="s">
        <v>36</v>
      </c>
      <c r="J11">
        <v>0.7</v>
      </c>
      <c r="K11" s="5"/>
      <c r="L11" t="s">
        <v>79</v>
      </c>
      <c r="M11" s="10">
        <v>45444</v>
      </c>
      <c r="O11">
        <v>518</v>
      </c>
      <c r="P11" s="6">
        <f>IF(employees_model[[#This Row],[IsActive]]="Yes",1,0)</f>
        <v>1</v>
      </c>
    </row>
    <row r="12" spans="1:16" x14ac:dyDescent="0.75">
      <c r="A12">
        <v>1010</v>
      </c>
      <c r="B12" s="5" t="s">
        <v>47</v>
      </c>
      <c r="C12" s="5" t="s">
        <v>24</v>
      </c>
      <c r="D12" s="5" t="s">
        <v>41</v>
      </c>
      <c r="E12" s="5" t="s">
        <v>48</v>
      </c>
      <c r="F12" s="5" t="s">
        <v>43</v>
      </c>
      <c r="G12" s="2">
        <v>45213</v>
      </c>
      <c r="H12" s="2">
        <v>45279</v>
      </c>
      <c r="I12" s="5" t="s">
        <v>36</v>
      </c>
      <c r="J12">
        <v>0.5</v>
      </c>
      <c r="K12" s="5" t="s">
        <v>49</v>
      </c>
      <c r="L12" t="s">
        <v>78</v>
      </c>
      <c r="M12" s="10">
        <v>45200</v>
      </c>
      <c r="N12" s="10">
        <v>45261</v>
      </c>
      <c r="O12">
        <v>66</v>
      </c>
      <c r="P12" s="6">
        <f>IF(employees_model[[#This Row],[IsActive]]="Yes",1,0)</f>
        <v>0</v>
      </c>
    </row>
    <row r="13" spans="1:16" x14ac:dyDescent="0.75">
      <c r="A13">
        <v>1011</v>
      </c>
      <c r="B13" s="5" t="s">
        <v>23</v>
      </c>
      <c r="C13" s="5" t="s">
        <v>32</v>
      </c>
      <c r="D13" s="5" t="s">
        <v>30</v>
      </c>
      <c r="E13" s="5" t="s">
        <v>46</v>
      </c>
      <c r="F13" s="5" t="s">
        <v>43</v>
      </c>
      <c r="G13" s="2">
        <v>44815</v>
      </c>
      <c r="H13" s="2"/>
      <c r="I13" s="5" t="s">
        <v>16</v>
      </c>
      <c r="J13">
        <v>1</v>
      </c>
      <c r="K13" s="5"/>
      <c r="L13" t="s">
        <v>79</v>
      </c>
      <c r="M13" s="10">
        <v>44805</v>
      </c>
      <c r="O13">
        <v>1147</v>
      </c>
      <c r="P13" s="6">
        <f>IF(employees_model[[#This Row],[IsActive]]="Yes",1,0)</f>
        <v>1</v>
      </c>
    </row>
    <row r="14" spans="1:16" x14ac:dyDescent="0.75">
      <c r="A14">
        <v>1012</v>
      </c>
      <c r="B14" s="5" t="s">
        <v>50</v>
      </c>
      <c r="C14" s="5" t="s">
        <v>12</v>
      </c>
      <c r="D14" s="5" t="s">
        <v>30</v>
      </c>
      <c r="E14" s="5" t="s">
        <v>51</v>
      </c>
      <c r="F14" s="5" t="s">
        <v>35</v>
      </c>
      <c r="G14" s="2">
        <v>44983</v>
      </c>
      <c r="H14" s="2">
        <v>45395</v>
      </c>
      <c r="I14" s="5" t="s">
        <v>38</v>
      </c>
      <c r="J14">
        <v>0.1</v>
      </c>
      <c r="K14" s="5" t="s">
        <v>17</v>
      </c>
      <c r="L14" t="s">
        <v>78</v>
      </c>
      <c r="M14" s="10">
        <v>44958</v>
      </c>
      <c r="N14" s="10">
        <v>45383</v>
      </c>
      <c r="O14">
        <v>412</v>
      </c>
      <c r="P14" s="6">
        <f>IF(employees_model[[#This Row],[IsActive]]="Yes",1,0)</f>
        <v>0</v>
      </c>
    </row>
    <row r="15" spans="1:16" x14ac:dyDescent="0.75">
      <c r="A15">
        <v>1013</v>
      </c>
      <c r="B15" s="5" t="s">
        <v>47</v>
      </c>
      <c r="C15" s="5" t="s">
        <v>33</v>
      </c>
      <c r="D15" s="5" t="s">
        <v>13</v>
      </c>
      <c r="E15" s="5" t="s">
        <v>14</v>
      </c>
      <c r="F15" s="5" t="s">
        <v>43</v>
      </c>
      <c r="G15" s="2">
        <v>44581</v>
      </c>
      <c r="H15" s="2">
        <v>44810</v>
      </c>
      <c r="I15" s="5" t="s">
        <v>38</v>
      </c>
      <c r="J15">
        <v>0.1</v>
      </c>
      <c r="K15" s="5" t="s">
        <v>22</v>
      </c>
      <c r="L15" t="s">
        <v>78</v>
      </c>
      <c r="M15" s="10">
        <v>44562</v>
      </c>
      <c r="N15" s="10">
        <v>44805</v>
      </c>
      <c r="O15">
        <v>229</v>
      </c>
      <c r="P15" s="6">
        <f>IF(employees_model[[#This Row],[IsActive]]="Yes",1,0)</f>
        <v>0</v>
      </c>
    </row>
    <row r="16" spans="1:16" x14ac:dyDescent="0.75">
      <c r="A16">
        <v>1014</v>
      </c>
      <c r="B16" s="5" t="s">
        <v>37</v>
      </c>
      <c r="C16" s="5" t="s">
        <v>52</v>
      </c>
      <c r="D16" s="5" t="s">
        <v>13</v>
      </c>
      <c r="E16" s="5" t="s">
        <v>53</v>
      </c>
      <c r="F16" s="5" t="s">
        <v>15</v>
      </c>
      <c r="G16" s="2">
        <v>45024</v>
      </c>
      <c r="H16" s="2"/>
      <c r="I16" s="5" t="s">
        <v>38</v>
      </c>
      <c r="J16">
        <v>0.2</v>
      </c>
      <c r="K16" s="5"/>
      <c r="L16" t="s">
        <v>79</v>
      </c>
      <c r="M16" s="10">
        <v>45017</v>
      </c>
      <c r="O16">
        <v>938</v>
      </c>
      <c r="P16" s="6">
        <f>IF(employees_model[[#This Row],[IsActive]]="Yes",1,0)</f>
        <v>1</v>
      </c>
    </row>
    <row r="17" spans="1:16" x14ac:dyDescent="0.75">
      <c r="A17">
        <v>1015</v>
      </c>
      <c r="B17" s="5" t="s">
        <v>18</v>
      </c>
      <c r="C17" s="5" t="s">
        <v>54</v>
      </c>
      <c r="D17" s="5" t="s">
        <v>41</v>
      </c>
      <c r="E17" s="5" t="s">
        <v>55</v>
      </c>
      <c r="F17" s="5" t="s">
        <v>35</v>
      </c>
      <c r="G17" s="2">
        <v>45232</v>
      </c>
      <c r="H17" s="2"/>
      <c r="I17" s="5" t="s">
        <v>38</v>
      </c>
      <c r="J17">
        <v>0.2</v>
      </c>
      <c r="K17" s="5"/>
      <c r="L17" t="s">
        <v>79</v>
      </c>
      <c r="M17" s="10">
        <v>45231</v>
      </c>
      <c r="O17">
        <v>730</v>
      </c>
      <c r="P17" s="6">
        <f>IF(employees_model[[#This Row],[IsActive]]="Yes",1,0)</f>
        <v>1</v>
      </c>
    </row>
    <row r="18" spans="1:16" x14ac:dyDescent="0.75">
      <c r="A18">
        <v>1016</v>
      </c>
      <c r="B18" s="5" t="s">
        <v>56</v>
      </c>
      <c r="C18" s="5" t="s">
        <v>57</v>
      </c>
      <c r="D18" s="5" t="s">
        <v>20</v>
      </c>
      <c r="E18" s="5" t="s">
        <v>21</v>
      </c>
      <c r="F18" s="5" t="s">
        <v>27</v>
      </c>
      <c r="G18" s="2">
        <v>45107</v>
      </c>
      <c r="H18" s="2"/>
      <c r="I18" s="5" t="s">
        <v>36</v>
      </c>
      <c r="J18">
        <v>0.7</v>
      </c>
      <c r="K18" s="5"/>
      <c r="L18" t="s">
        <v>79</v>
      </c>
      <c r="M18" s="10">
        <v>45078</v>
      </c>
      <c r="O18">
        <v>855</v>
      </c>
      <c r="P18" s="6">
        <f>IF(employees_model[[#This Row],[IsActive]]="Yes",1,0)</f>
        <v>1</v>
      </c>
    </row>
    <row r="19" spans="1:16" x14ac:dyDescent="0.75">
      <c r="A19">
        <v>1017</v>
      </c>
      <c r="B19" s="5" t="s">
        <v>58</v>
      </c>
      <c r="C19" s="5" t="s">
        <v>59</v>
      </c>
      <c r="D19" s="5" t="s">
        <v>41</v>
      </c>
      <c r="E19" s="5" t="s">
        <v>42</v>
      </c>
      <c r="F19" s="5" t="s">
        <v>15</v>
      </c>
      <c r="G19" s="2">
        <v>44853</v>
      </c>
      <c r="H19" s="2"/>
      <c r="I19" s="5" t="s">
        <v>38</v>
      </c>
      <c r="J19">
        <v>0.3</v>
      </c>
      <c r="K19" s="5"/>
      <c r="L19" t="s">
        <v>79</v>
      </c>
      <c r="M19" s="10">
        <v>44835</v>
      </c>
      <c r="O19">
        <v>1109</v>
      </c>
      <c r="P19" s="6">
        <f>IF(employees_model[[#This Row],[IsActive]]="Yes",1,0)</f>
        <v>1</v>
      </c>
    </row>
    <row r="20" spans="1:16" x14ac:dyDescent="0.75">
      <c r="A20">
        <v>1018</v>
      </c>
      <c r="B20" s="5" t="s">
        <v>56</v>
      </c>
      <c r="C20" s="5" t="s">
        <v>52</v>
      </c>
      <c r="D20" s="5" t="s">
        <v>13</v>
      </c>
      <c r="E20" s="5" t="s">
        <v>60</v>
      </c>
      <c r="F20" s="5" t="s">
        <v>43</v>
      </c>
      <c r="G20" s="2">
        <v>45144</v>
      </c>
      <c r="H20" s="2">
        <v>45372</v>
      </c>
      <c r="I20" s="5" t="s">
        <v>36</v>
      </c>
      <c r="J20">
        <v>0.6</v>
      </c>
      <c r="K20" s="5" t="s">
        <v>17</v>
      </c>
      <c r="L20" t="s">
        <v>78</v>
      </c>
      <c r="M20" s="10">
        <v>45139</v>
      </c>
      <c r="N20" s="10">
        <v>45352</v>
      </c>
      <c r="O20">
        <v>228</v>
      </c>
      <c r="P20" s="6">
        <f>IF(employees_model[[#This Row],[IsActive]]="Yes",1,0)</f>
        <v>0</v>
      </c>
    </row>
    <row r="21" spans="1:16" x14ac:dyDescent="0.75">
      <c r="A21">
        <v>1019</v>
      </c>
      <c r="B21" s="5" t="s">
        <v>37</v>
      </c>
      <c r="C21" s="5" t="s">
        <v>45</v>
      </c>
      <c r="D21" s="5" t="s">
        <v>20</v>
      </c>
      <c r="E21" s="5" t="s">
        <v>21</v>
      </c>
      <c r="F21" s="5" t="s">
        <v>15</v>
      </c>
      <c r="G21" s="2">
        <v>45855</v>
      </c>
      <c r="H21" s="2"/>
      <c r="I21" s="5" t="s">
        <v>36</v>
      </c>
      <c r="J21">
        <v>0.5</v>
      </c>
      <c r="K21" s="5"/>
      <c r="L21" t="s">
        <v>79</v>
      </c>
      <c r="M21" s="10">
        <v>45839</v>
      </c>
      <c r="O21">
        <v>107</v>
      </c>
      <c r="P21" s="6">
        <f>IF(employees_model[[#This Row],[IsActive]]="Yes",1,0)</f>
        <v>1</v>
      </c>
    </row>
    <row r="22" spans="1:16" x14ac:dyDescent="0.75">
      <c r="A22">
        <v>1020</v>
      </c>
      <c r="B22" s="5" t="s">
        <v>11</v>
      </c>
      <c r="C22" s="5" t="s">
        <v>59</v>
      </c>
      <c r="D22" s="5" t="s">
        <v>25</v>
      </c>
      <c r="E22" s="5" t="s">
        <v>61</v>
      </c>
      <c r="F22" s="5" t="s">
        <v>27</v>
      </c>
      <c r="G22" s="2">
        <v>44829</v>
      </c>
      <c r="H22" s="2"/>
      <c r="I22" s="5" t="s">
        <v>38</v>
      </c>
      <c r="J22">
        <v>0.3</v>
      </c>
      <c r="K22" s="5"/>
      <c r="L22" t="s">
        <v>79</v>
      </c>
      <c r="M22" s="10">
        <v>44805</v>
      </c>
      <c r="O22">
        <v>1133</v>
      </c>
      <c r="P22" s="6">
        <f>IF(employees_model[[#This Row],[IsActive]]="Yes",1,0)</f>
        <v>1</v>
      </c>
    </row>
    <row r="23" spans="1:16" x14ac:dyDescent="0.75">
      <c r="A23">
        <v>1021</v>
      </c>
      <c r="B23" s="5" t="s">
        <v>37</v>
      </c>
      <c r="C23" s="5" t="s">
        <v>24</v>
      </c>
      <c r="D23" s="5" t="s">
        <v>20</v>
      </c>
      <c r="E23" s="5" t="s">
        <v>34</v>
      </c>
      <c r="F23" s="5" t="s">
        <v>35</v>
      </c>
      <c r="G23" s="2">
        <v>45647</v>
      </c>
      <c r="H23" s="2"/>
      <c r="I23" s="5" t="s">
        <v>38</v>
      </c>
      <c r="J23">
        <v>0.1</v>
      </c>
      <c r="K23" s="5"/>
      <c r="L23" t="s">
        <v>79</v>
      </c>
      <c r="M23" s="10">
        <v>45627</v>
      </c>
      <c r="O23">
        <v>315</v>
      </c>
      <c r="P23" s="6">
        <f>IF(employees_model[[#This Row],[IsActive]]="Yes",1,0)</f>
        <v>1</v>
      </c>
    </row>
    <row r="24" spans="1:16" x14ac:dyDescent="0.75">
      <c r="A24">
        <v>1022</v>
      </c>
      <c r="B24" s="5" t="s">
        <v>11</v>
      </c>
      <c r="C24" s="5" t="s">
        <v>19</v>
      </c>
      <c r="D24" s="5" t="s">
        <v>20</v>
      </c>
      <c r="E24" s="5" t="s">
        <v>40</v>
      </c>
      <c r="F24" s="5" t="s">
        <v>35</v>
      </c>
      <c r="G24" s="2">
        <v>45162</v>
      </c>
      <c r="H24" s="2"/>
      <c r="I24" s="5" t="s">
        <v>16</v>
      </c>
      <c r="J24">
        <v>0.8</v>
      </c>
      <c r="K24" s="5"/>
      <c r="L24" t="s">
        <v>79</v>
      </c>
      <c r="M24" s="10">
        <v>45139</v>
      </c>
      <c r="O24">
        <v>800</v>
      </c>
      <c r="P24" s="6">
        <f>IF(employees_model[[#This Row],[IsActive]]="Yes",1,0)</f>
        <v>1</v>
      </c>
    </row>
    <row r="25" spans="1:16" x14ac:dyDescent="0.75">
      <c r="A25">
        <v>1023</v>
      </c>
      <c r="B25" s="5" t="s">
        <v>62</v>
      </c>
      <c r="C25" s="5" t="s">
        <v>32</v>
      </c>
      <c r="D25" s="5" t="s">
        <v>30</v>
      </c>
      <c r="E25" s="5" t="s">
        <v>46</v>
      </c>
      <c r="F25" s="5" t="s">
        <v>15</v>
      </c>
      <c r="G25" s="2">
        <v>44993</v>
      </c>
      <c r="H25" s="2">
        <v>45784</v>
      </c>
      <c r="I25" s="5" t="s">
        <v>16</v>
      </c>
      <c r="J25">
        <v>1</v>
      </c>
      <c r="K25" s="5" t="s">
        <v>49</v>
      </c>
      <c r="L25" t="s">
        <v>78</v>
      </c>
      <c r="M25" s="10">
        <v>44986</v>
      </c>
      <c r="N25" s="10">
        <v>45778</v>
      </c>
      <c r="O25">
        <v>791</v>
      </c>
      <c r="P25" s="6">
        <f>IF(employees_model[[#This Row],[IsActive]]="Yes",1,0)</f>
        <v>0</v>
      </c>
    </row>
    <row r="26" spans="1:16" x14ac:dyDescent="0.75">
      <c r="A26">
        <v>1024</v>
      </c>
      <c r="B26" s="5" t="s">
        <v>37</v>
      </c>
      <c r="C26" s="5" t="s">
        <v>63</v>
      </c>
      <c r="D26" s="5" t="s">
        <v>30</v>
      </c>
      <c r="E26" s="5" t="s">
        <v>64</v>
      </c>
      <c r="F26" s="5" t="s">
        <v>27</v>
      </c>
      <c r="G26" s="2">
        <v>45590</v>
      </c>
      <c r="H26" s="2">
        <v>45803</v>
      </c>
      <c r="I26" s="5" t="s">
        <v>36</v>
      </c>
      <c r="J26">
        <v>0.4</v>
      </c>
      <c r="K26" s="5" t="s">
        <v>17</v>
      </c>
      <c r="L26" t="s">
        <v>78</v>
      </c>
      <c r="M26" s="10">
        <v>45566</v>
      </c>
      <c r="N26" s="10">
        <v>45778</v>
      </c>
      <c r="O26">
        <v>213</v>
      </c>
      <c r="P26" s="6">
        <f>IF(employees_model[[#This Row],[IsActive]]="Yes",1,0)</f>
        <v>0</v>
      </c>
    </row>
    <row r="27" spans="1:16" x14ac:dyDescent="0.75">
      <c r="A27">
        <v>1025</v>
      </c>
      <c r="B27" s="5" t="s">
        <v>11</v>
      </c>
      <c r="C27" s="5" t="s">
        <v>33</v>
      </c>
      <c r="D27" s="5" t="s">
        <v>30</v>
      </c>
      <c r="E27" s="5" t="s">
        <v>31</v>
      </c>
      <c r="F27" s="5" t="s">
        <v>43</v>
      </c>
      <c r="G27" s="2">
        <v>45190</v>
      </c>
      <c r="H27" s="2"/>
      <c r="I27" s="5" t="s">
        <v>36</v>
      </c>
      <c r="J27">
        <v>0.5</v>
      </c>
      <c r="K27" s="5"/>
      <c r="L27" t="s">
        <v>79</v>
      </c>
      <c r="M27" s="10">
        <v>45170</v>
      </c>
      <c r="O27">
        <v>772</v>
      </c>
      <c r="P27" s="6">
        <f>IF(employees_model[[#This Row],[IsActive]]="Yes",1,0)</f>
        <v>1</v>
      </c>
    </row>
    <row r="28" spans="1:16" x14ac:dyDescent="0.75">
      <c r="A28">
        <v>1026</v>
      </c>
      <c r="B28" s="5" t="s">
        <v>23</v>
      </c>
      <c r="C28" s="5" t="s">
        <v>45</v>
      </c>
      <c r="D28" s="5" t="s">
        <v>13</v>
      </c>
      <c r="E28" s="5" t="s">
        <v>65</v>
      </c>
      <c r="F28" s="5" t="s">
        <v>27</v>
      </c>
      <c r="G28" s="2">
        <v>45240</v>
      </c>
      <c r="H28" s="2"/>
      <c r="I28" s="5" t="s">
        <v>38</v>
      </c>
      <c r="J28">
        <v>0.2</v>
      </c>
      <c r="K28" s="5"/>
      <c r="L28" t="s">
        <v>79</v>
      </c>
      <c r="M28" s="10">
        <v>45231</v>
      </c>
      <c r="O28">
        <v>722</v>
      </c>
      <c r="P28" s="6">
        <f>IF(employees_model[[#This Row],[IsActive]]="Yes",1,0)</f>
        <v>1</v>
      </c>
    </row>
    <row r="29" spans="1:16" x14ac:dyDescent="0.75">
      <c r="A29">
        <v>1027</v>
      </c>
      <c r="B29" s="5" t="s">
        <v>37</v>
      </c>
      <c r="C29" s="5" t="s">
        <v>66</v>
      </c>
      <c r="D29" s="5" t="s">
        <v>25</v>
      </c>
      <c r="E29" s="5" t="s">
        <v>67</v>
      </c>
      <c r="F29" s="5" t="s">
        <v>27</v>
      </c>
      <c r="G29" s="2">
        <v>44962</v>
      </c>
      <c r="H29" s="2"/>
      <c r="I29" s="5" t="s">
        <v>16</v>
      </c>
      <c r="J29">
        <v>0.9</v>
      </c>
      <c r="K29" s="5"/>
      <c r="L29" t="s">
        <v>79</v>
      </c>
      <c r="M29" s="10">
        <v>44958</v>
      </c>
      <c r="O29">
        <v>1000</v>
      </c>
      <c r="P29" s="6">
        <f>IF(employees_model[[#This Row],[IsActive]]="Yes",1,0)</f>
        <v>1</v>
      </c>
    </row>
    <row r="30" spans="1:16" x14ac:dyDescent="0.75">
      <c r="A30">
        <v>1028</v>
      </c>
      <c r="B30" s="5" t="s">
        <v>68</v>
      </c>
      <c r="C30" s="5" t="s">
        <v>63</v>
      </c>
      <c r="D30" s="5" t="s">
        <v>13</v>
      </c>
      <c r="E30" s="5" t="s">
        <v>53</v>
      </c>
      <c r="F30" s="5" t="s">
        <v>35</v>
      </c>
      <c r="G30" s="2">
        <v>45726</v>
      </c>
      <c r="H30" s="2">
        <v>45806</v>
      </c>
      <c r="I30" s="5" t="s">
        <v>16</v>
      </c>
      <c r="J30">
        <v>0.8</v>
      </c>
      <c r="K30" s="5" t="s">
        <v>17</v>
      </c>
      <c r="L30" t="s">
        <v>78</v>
      </c>
      <c r="M30" s="10">
        <v>45717</v>
      </c>
      <c r="N30" s="10">
        <v>45778</v>
      </c>
      <c r="O30">
        <v>80</v>
      </c>
      <c r="P30" s="6">
        <f>IF(employees_model[[#This Row],[IsActive]]="Yes",1,0)</f>
        <v>0</v>
      </c>
    </row>
    <row r="31" spans="1:16" x14ac:dyDescent="0.75">
      <c r="A31">
        <v>1029</v>
      </c>
      <c r="B31" s="5" t="s">
        <v>62</v>
      </c>
      <c r="C31" s="5" t="s">
        <v>45</v>
      </c>
      <c r="D31" s="5" t="s">
        <v>25</v>
      </c>
      <c r="E31" s="5" t="s">
        <v>26</v>
      </c>
      <c r="F31" s="5" t="s">
        <v>35</v>
      </c>
      <c r="G31" s="2">
        <v>44680</v>
      </c>
      <c r="H31" s="2">
        <v>45606</v>
      </c>
      <c r="I31" s="5" t="s">
        <v>36</v>
      </c>
      <c r="J31">
        <v>0.7</v>
      </c>
      <c r="K31" s="5" t="s">
        <v>17</v>
      </c>
      <c r="L31" t="s">
        <v>78</v>
      </c>
      <c r="M31" s="10">
        <v>44652</v>
      </c>
      <c r="N31" s="10">
        <v>45597</v>
      </c>
      <c r="O31">
        <v>926</v>
      </c>
      <c r="P31" s="6">
        <f>IF(employees_model[[#This Row],[IsActive]]="Yes",1,0)</f>
        <v>0</v>
      </c>
    </row>
    <row r="32" spans="1:16" x14ac:dyDescent="0.75">
      <c r="A32">
        <v>1030</v>
      </c>
      <c r="B32" s="5" t="s">
        <v>62</v>
      </c>
      <c r="C32" s="5" t="s">
        <v>69</v>
      </c>
      <c r="D32" s="5" t="s">
        <v>13</v>
      </c>
      <c r="E32" s="5" t="s">
        <v>14</v>
      </c>
      <c r="F32" s="5" t="s">
        <v>35</v>
      </c>
      <c r="G32" s="2">
        <v>45343</v>
      </c>
      <c r="H32" s="2"/>
      <c r="I32" s="5" t="s">
        <v>16</v>
      </c>
      <c r="J32">
        <v>0.9</v>
      </c>
      <c r="K32" s="5"/>
      <c r="L32" t="s">
        <v>79</v>
      </c>
      <c r="M32" s="10">
        <v>45323</v>
      </c>
      <c r="O32">
        <v>619</v>
      </c>
      <c r="P32" s="6">
        <f>IF(employees_model[[#This Row],[IsActive]]="Yes",1,0)</f>
        <v>1</v>
      </c>
    </row>
    <row r="33" spans="1:16" x14ac:dyDescent="0.75">
      <c r="A33">
        <v>1031</v>
      </c>
      <c r="B33" s="5" t="s">
        <v>39</v>
      </c>
      <c r="C33" s="5" t="s">
        <v>32</v>
      </c>
      <c r="D33" s="5" t="s">
        <v>20</v>
      </c>
      <c r="E33" s="5" t="s">
        <v>21</v>
      </c>
      <c r="F33" s="5" t="s">
        <v>27</v>
      </c>
      <c r="G33" s="2">
        <v>45730</v>
      </c>
      <c r="H33" s="2"/>
      <c r="I33" s="5" t="s">
        <v>36</v>
      </c>
      <c r="J33">
        <v>0.4</v>
      </c>
      <c r="K33" s="5"/>
      <c r="L33" t="s">
        <v>79</v>
      </c>
      <c r="M33" s="10">
        <v>45717</v>
      </c>
      <c r="O33">
        <v>232</v>
      </c>
      <c r="P33" s="6">
        <f>IF(employees_model[[#This Row],[IsActive]]="Yes",1,0)</f>
        <v>1</v>
      </c>
    </row>
    <row r="34" spans="1:16" x14ac:dyDescent="0.75">
      <c r="A34">
        <v>1032</v>
      </c>
      <c r="B34" s="5" t="s">
        <v>62</v>
      </c>
      <c r="C34" s="5" t="s">
        <v>52</v>
      </c>
      <c r="D34" s="5" t="s">
        <v>20</v>
      </c>
      <c r="E34" s="5" t="s">
        <v>40</v>
      </c>
      <c r="F34" s="5" t="s">
        <v>35</v>
      </c>
      <c r="G34" s="2">
        <v>45787</v>
      </c>
      <c r="H34" s="2"/>
      <c r="I34" s="5" t="s">
        <v>36</v>
      </c>
      <c r="J34">
        <v>0.7</v>
      </c>
      <c r="K34" s="5"/>
      <c r="L34" t="s">
        <v>79</v>
      </c>
      <c r="M34" s="10">
        <v>45778</v>
      </c>
      <c r="O34">
        <v>175</v>
      </c>
      <c r="P34" s="6">
        <f>IF(employees_model[[#This Row],[IsActive]]="Yes",1,0)</f>
        <v>1</v>
      </c>
    </row>
    <row r="35" spans="1:16" x14ac:dyDescent="0.75">
      <c r="A35">
        <v>1033</v>
      </c>
      <c r="B35" s="5" t="s">
        <v>44</v>
      </c>
      <c r="C35" s="5" t="s">
        <v>59</v>
      </c>
      <c r="D35" s="5" t="s">
        <v>30</v>
      </c>
      <c r="E35" s="5" t="s">
        <v>51</v>
      </c>
      <c r="F35" s="5" t="s">
        <v>15</v>
      </c>
      <c r="G35" s="2">
        <v>45333</v>
      </c>
      <c r="H35" s="2">
        <v>45905</v>
      </c>
      <c r="I35" s="5" t="s">
        <v>16</v>
      </c>
      <c r="J35">
        <v>0.9</v>
      </c>
      <c r="K35" s="5" t="s">
        <v>17</v>
      </c>
      <c r="L35" t="s">
        <v>78</v>
      </c>
      <c r="M35" s="10">
        <v>45323</v>
      </c>
      <c r="N35" s="10">
        <v>45901</v>
      </c>
      <c r="O35">
        <v>572</v>
      </c>
      <c r="P35" s="6">
        <f>IF(employees_model[[#This Row],[IsActive]]="Yes",1,0)</f>
        <v>0</v>
      </c>
    </row>
    <row r="36" spans="1:16" x14ac:dyDescent="0.75">
      <c r="A36">
        <v>1034</v>
      </c>
      <c r="B36" s="5" t="s">
        <v>23</v>
      </c>
      <c r="C36" s="5" t="s">
        <v>33</v>
      </c>
      <c r="D36" s="5" t="s">
        <v>30</v>
      </c>
      <c r="E36" s="5" t="s">
        <v>64</v>
      </c>
      <c r="F36" s="5" t="s">
        <v>35</v>
      </c>
      <c r="G36" s="2">
        <v>45305</v>
      </c>
      <c r="H36" s="2"/>
      <c r="I36" s="5" t="s">
        <v>16</v>
      </c>
      <c r="J36">
        <v>0.9</v>
      </c>
      <c r="K36" s="5"/>
      <c r="L36" t="s">
        <v>79</v>
      </c>
      <c r="M36" s="10">
        <v>45292</v>
      </c>
      <c r="O36">
        <v>657</v>
      </c>
      <c r="P36" s="6">
        <f>IF(employees_model[[#This Row],[IsActive]]="Yes",1,0)</f>
        <v>1</v>
      </c>
    </row>
    <row r="37" spans="1:16" x14ac:dyDescent="0.75">
      <c r="A37">
        <v>1035</v>
      </c>
      <c r="B37" s="5" t="s">
        <v>47</v>
      </c>
      <c r="C37" s="5" t="s">
        <v>69</v>
      </c>
      <c r="D37" s="5" t="s">
        <v>41</v>
      </c>
      <c r="E37" s="5" t="s">
        <v>70</v>
      </c>
      <c r="F37" s="5" t="s">
        <v>15</v>
      </c>
      <c r="G37" s="2">
        <v>45687</v>
      </c>
      <c r="H37" s="2"/>
      <c r="I37" s="5" t="s">
        <v>38</v>
      </c>
      <c r="J37">
        <v>0.3</v>
      </c>
      <c r="K37" s="5"/>
      <c r="L37" t="s">
        <v>79</v>
      </c>
      <c r="M37" s="10">
        <v>45658</v>
      </c>
      <c r="O37">
        <v>275</v>
      </c>
      <c r="P37" s="6">
        <f>IF(employees_model[[#This Row],[IsActive]]="Yes",1,0)</f>
        <v>1</v>
      </c>
    </row>
    <row r="38" spans="1:16" x14ac:dyDescent="0.75">
      <c r="A38">
        <v>1036</v>
      </c>
      <c r="B38" s="5" t="s">
        <v>28</v>
      </c>
      <c r="C38" s="5" t="s">
        <v>69</v>
      </c>
      <c r="D38" s="5" t="s">
        <v>20</v>
      </c>
      <c r="E38" s="5" t="s">
        <v>21</v>
      </c>
      <c r="F38" s="5" t="s">
        <v>15</v>
      </c>
      <c r="G38" s="2">
        <v>45077</v>
      </c>
      <c r="H38" s="2"/>
      <c r="I38" s="5" t="s">
        <v>36</v>
      </c>
      <c r="J38">
        <v>0.4</v>
      </c>
      <c r="K38" s="5"/>
      <c r="L38" t="s">
        <v>79</v>
      </c>
      <c r="M38" s="10">
        <v>45047</v>
      </c>
      <c r="O38">
        <v>885</v>
      </c>
      <c r="P38" s="6">
        <f>IF(employees_model[[#This Row],[IsActive]]="Yes",1,0)</f>
        <v>1</v>
      </c>
    </row>
    <row r="39" spans="1:16" x14ac:dyDescent="0.75">
      <c r="A39">
        <v>1037</v>
      </c>
      <c r="B39" s="5" t="s">
        <v>71</v>
      </c>
      <c r="C39" s="5" t="s">
        <v>24</v>
      </c>
      <c r="D39" s="5" t="s">
        <v>13</v>
      </c>
      <c r="E39" s="5" t="s">
        <v>72</v>
      </c>
      <c r="F39" s="5" t="s">
        <v>15</v>
      </c>
      <c r="G39" s="2">
        <v>44696</v>
      </c>
      <c r="H39" s="2"/>
      <c r="I39" s="5" t="s">
        <v>16</v>
      </c>
      <c r="J39">
        <v>0.8</v>
      </c>
      <c r="K39" s="5"/>
      <c r="L39" t="s">
        <v>79</v>
      </c>
      <c r="M39" s="10">
        <v>44682</v>
      </c>
      <c r="O39">
        <v>1266</v>
      </c>
      <c r="P39" s="6">
        <f>IF(employees_model[[#This Row],[IsActive]]="Yes",1,0)</f>
        <v>1</v>
      </c>
    </row>
    <row r="40" spans="1:16" x14ac:dyDescent="0.75">
      <c r="A40">
        <v>1038</v>
      </c>
      <c r="B40" s="5" t="s">
        <v>68</v>
      </c>
      <c r="C40" s="5" t="s">
        <v>12</v>
      </c>
      <c r="D40" s="5" t="s">
        <v>13</v>
      </c>
      <c r="E40" s="5" t="s">
        <v>60</v>
      </c>
      <c r="F40" s="5" t="s">
        <v>35</v>
      </c>
      <c r="G40" s="2">
        <v>45412</v>
      </c>
      <c r="H40" s="2"/>
      <c r="I40" s="5" t="s">
        <v>38</v>
      </c>
      <c r="J40">
        <v>0.1</v>
      </c>
      <c r="K40" s="5"/>
      <c r="L40" t="s">
        <v>79</v>
      </c>
      <c r="M40" s="10">
        <v>45383</v>
      </c>
      <c r="O40">
        <v>550</v>
      </c>
      <c r="P40" s="6">
        <f>IF(employees_model[[#This Row],[IsActive]]="Yes",1,0)</f>
        <v>1</v>
      </c>
    </row>
    <row r="41" spans="1:16" x14ac:dyDescent="0.75">
      <c r="A41">
        <v>1039</v>
      </c>
      <c r="B41" s="5" t="s">
        <v>50</v>
      </c>
      <c r="C41" s="5" t="s">
        <v>32</v>
      </c>
      <c r="D41" s="5" t="s">
        <v>20</v>
      </c>
      <c r="E41" s="5" t="s">
        <v>34</v>
      </c>
      <c r="F41" s="5" t="s">
        <v>15</v>
      </c>
      <c r="G41" s="2">
        <v>45719</v>
      </c>
      <c r="H41" s="2"/>
      <c r="I41" s="5" t="s">
        <v>38</v>
      </c>
      <c r="J41">
        <v>0.2</v>
      </c>
      <c r="K41" s="5"/>
      <c r="L41" t="s">
        <v>79</v>
      </c>
      <c r="M41" s="10">
        <v>45717</v>
      </c>
      <c r="O41">
        <v>243</v>
      </c>
      <c r="P41" s="6">
        <f>IF(employees_model[[#This Row],[IsActive]]="Yes",1,0)</f>
        <v>1</v>
      </c>
    </row>
    <row r="42" spans="1:16" x14ac:dyDescent="0.75">
      <c r="A42">
        <v>1040</v>
      </c>
      <c r="B42" s="5" t="s">
        <v>56</v>
      </c>
      <c r="C42" s="5" t="s">
        <v>29</v>
      </c>
      <c r="D42" s="5" t="s">
        <v>30</v>
      </c>
      <c r="E42" s="5" t="s">
        <v>31</v>
      </c>
      <c r="F42" s="5" t="s">
        <v>35</v>
      </c>
      <c r="G42" s="2">
        <v>44890</v>
      </c>
      <c r="H42" s="2"/>
      <c r="I42" s="5" t="s">
        <v>16</v>
      </c>
      <c r="J42">
        <v>0.8</v>
      </c>
      <c r="K42" s="5"/>
      <c r="L42" t="s">
        <v>79</v>
      </c>
      <c r="M42" s="10">
        <v>44866</v>
      </c>
      <c r="O42">
        <v>1072</v>
      </c>
      <c r="P42" s="6">
        <f>IF(employees_model[[#This Row],[IsActive]]="Yes",1,0)</f>
        <v>1</v>
      </c>
    </row>
    <row r="43" spans="1:16" x14ac:dyDescent="0.75">
      <c r="A43">
        <v>1041</v>
      </c>
      <c r="B43" s="5" t="s">
        <v>58</v>
      </c>
      <c r="C43" s="5" t="s">
        <v>66</v>
      </c>
      <c r="D43" s="5" t="s">
        <v>20</v>
      </c>
      <c r="E43" s="5" t="s">
        <v>21</v>
      </c>
      <c r="F43" s="5" t="s">
        <v>15</v>
      </c>
      <c r="G43" s="2">
        <v>45290</v>
      </c>
      <c r="H43" s="2"/>
      <c r="I43" s="5" t="s">
        <v>36</v>
      </c>
      <c r="J43">
        <v>0.7</v>
      </c>
      <c r="K43" s="5"/>
      <c r="L43" t="s">
        <v>79</v>
      </c>
      <c r="M43" s="10">
        <v>45261</v>
      </c>
      <c r="O43">
        <v>672</v>
      </c>
      <c r="P43" s="6">
        <f>IF(employees_model[[#This Row],[IsActive]]="Yes",1,0)</f>
        <v>1</v>
      </c>
    </row>
    <row r="44" spans="1:16" x14ac:dyDescent="0.75">
      <c r="A44">
        <v>1042</v>
      </c>
      <c r="B44" s="5" t="s">
        <v>47</v>
      </c>
      <c r="C44" s="5" t="s">
        <v>29</v>
      </c>
      <c r="D44" s="5" t="s">
        <v>20</v>
      </c>
      <c r="E44" s="5" t="s">
        <v>34</v>
      </c>
      <c r="F44" s="5" t="s">
        <v>43</v>
      </c>
      <c r="G44" s="2">
        <v>45110</v>
      </c>
      <c r="H44" s="2"/>
      <c r="I44" s="5" t="s">
        <v>38</v>
      </c>
      <c r="J44">
        <v>0.1</v>
      </c>
      <c r="K44" s="5"/>
      <c r="L44" t="s">
        <v>79</v>
      </c>
      <c r="M44" s="10">
        <v>45108</v>
      </c>
      <c r="O44">
        <v>852</v>
      </c>
      <c r="P44" s="6">
        <f>IF(employees_model[[#This Row],[IsActive]]="Yes",1,0)</f>
        <v>1</v>
      </c>
    </row>
    <row r="45" spans="1:16" x14ac:dyDescent="0.75">
      <c r="A45">
        <v>1043</v>
      </c>
      <c r="B45" s="5" t="s">
        <v>23</v>
      </c>
      <c r="C45" s="5" t="s">
        <v>52</v>
      </c>
      <c r="D45" s="5" t="s">
        <v>30</v>
      </c>
      <c r="E45" s="5" t="s">
        <v>46</v>
      </c>
      <c r="F45" s="5" t="s">
        <v>43</v>
      </c>
      <c r="G45" s="2">
        <v>45080</v>
      </c>
      <c r="H45" s="2">
        <v>45154</v>
      </c>
      <c r="I45" s="5" t="s">
        <v>16</v>
      </c>
      <c r="J45">
        <v>0.9</v>
      </c>
      <c r="K45" s="5" t="s">
        <v>17</v>
      </c>
      <c r="L45" t="s">
        <v>78</v>
      </c>
      <c r="M45" s="10">
        <v>45078</v>
      </c>
      <c r="N45" s="10">
        <v>45139</v>
      </c>
      <c r="O45">
        <v>74</v>
      </c>
      <c r="P45" s="6">
        <f>IF(employees_model[[#This Row],[IsActive]]="Yes",1,0)</f>
        <v>0</v>
      </c>
    </row>
    <row r="46" spans="1:16" x14ac:dyDescent="0.75">
      <c r="A46">
        <v>1044</v>
      </c>
      <c r="B46" s="5" t="s">
        <v>28</v>
      </c>
      <c r="C46" s="5" t="s">
        <v>24</v>
      </c>
      <c r="D46" s="5" t="s">
        <v>25</v>
      </c>
      <c r="E46" s="5" t="s">
        <v>67</v>
      </c>
      <c r="F46" s="5" t="s">
        <v>15</v>
      </c>
      <c r="G46" s="2">
        <v>45898</v>
      </c>
      <c r="H46" s="2"/>
      <c r="I46" s="5" t="s">
        <v>16</v>
      </c>
      <c r="J46">
        <v>0.9</v>
      </c>
      <c r="K46" s="5"/>
      <c r="L46" t="s">
        <v>79</v>
      </c>
      <c r="M46" s="10">
        <v>45870</v>
      </c>
      <c r="O46">
        <v>64</v>
      </c>
      <c r="P46" s="6">
        <f>IF(employees_model[[#This Row],[IsActive]]="Yes",1,0)</f>
        <v>1</v>
      </c>
    </row>
    <row r="47" spans="1:16" x14ac:dyDescent="0.75">
      <c r="A47">
        <v>1045</v>
      </c>
      <c r="B47" s="5" t="s">
        <v>62</v>
      </c>
      <c r="C47" s="5" t="s">
        <v>52</v>
      </c>
      <c r="D47" s="5" t="s">
        <v>20</v>
      </c>
      <c r="E47" s="5" t="s">
        <v>34</v>
      </c>
      <c r="F47" s="5" t="s">
        <v>15</v>
      </c>
      <c r="G47" s="2">
        <v>45188</v>
      </c>
      <c r="H47" s="2">
        <v>45385</v>
      </c>
      <c r="I47" s="5" t="s">
        <v>36</v>
      </c>
      <c r="J47">
        <v>0.5</v>
      </c>
      <c r="K47" s="5" t="s">
        <v>22</v>
      </c>
      <c r="L47" t="s">
        <v>78</v>
      </c>
      <c r="M47" s="10">
        <v>45170</v>
      </c>
      <c r="N47" s="10">
        <v>45383</v>
      </c>
      <c r="O47">
        <v>197</v>
      </c>
      <c r="P47" s="6">
        <f>IF(employees_model[[#This Row],[IsActive]]="Yes",1,0)</f>
        <v>0</v>
      </c>
    </row>
    <row r="48" spans="1:16" x14ac:dyDescent="0.75">
      <c r="A48">
        <v>1046</v>
      </c>
      <c r="B48" s="5" t="s">
        <v>56</v>
      </c>
      <c r="C48" s="5" t="s">
        <v>29</v>
      </c>
      <c r="D48" s="5" t="s">
        <v>20</v>
      </c>
      <c r="E48" s="5" t="s">
        <v>21</v>
      </c>
      <c r="F48" s="5" t="s">
        <v>27</v>
      </c>
      <c r="G48" s="2">
        <v>45881</v>
      </c>
      <c r="H48" s="2">
        <v>45953</v>
      </c>
      <c r="I48" s="5" t="s">
        <v>16</v>
      </c>
      <c r="J48">
        <v>1</v>
      </c>
      <c r="K48" s="5" t="s">
        <v>17</v>
      </c>
      <c r="L48" t="s">
        <v>78</v>
      </c>
      <c r="M48" s="10">
        <v>45870</v>
      </c>
      <c r="N48" s="10">
        <v>45931</v>
      </c>
      <c r="O48">
        <v>72</v>
      </c>
      <c r="P48" s="6">
        <f>IF(employees_model[[#This Row],[IsActive]]="Yes",1,0)</f>
        <v>0</v>
      </c>
    </row>
    <row r="49" spans="1:16" x14ac:dyDescent="0.75">
      <c r="A49">
        <v>1047</v>
      </c>
      <c r="B49" s="5" t="s">
        <v>39</v>
      </c>
      <c r="C49" s="5" t="s">
        <v>63</v>
      </c>
      <c r="D49" s="5" t="s">
        <v>20</v>
      </c>
      <c r="E49" s="5" t="s">
        <v>40</v>
      </c>
      <c r="F49" s="5" t="s">
        <v>15</v>
      </c>
      <c r="G49" s="2">
        <v>45040</v>
      </c>
      <c r="H49" s="2"/>
      <c r="I49" s="5" t="s">
        <v>38</v>
      </c>
      <c r="J49">
        <v>0.1</v>
      </c>
      <c r="K49" s="5"/>
      <c r="L49" t="s">
        <v>79</v>
      </c>
      <c r="M49" s="10">
        <v>45017</v>
      </c>
      <c r="O49">
        <v>922</v>
      </c>
      <c r="P49" s="6">
        <f>IF(employees_model[[#This Row],[IsActive]]="Yes",1,0)</f>
        <v>1</v>
      </c>
    </row>
    <row r="50" spans="1:16" x14ac:dyDescent="0.75">
      <c r="A50">
        <v>1048</v>
      </c>
      <c r="B50" s="5" t="s">
        <v>47</v>
      </c>
      <c r="C50" s="5" t="s">
        <v>52</v>
      </c>
      <c r="D50" s="5" t="s">
        <v>30</v>
      </c>
      <c r="E50" s="5" t="s">
        <v>46</v>
      </c>
      <c r="F50" s="5" t="s">
        <v>27</v>
      </c>
      <c r="G50" s="2">
        <v>44705</v>
      </c>
      <c r="H50" s="2"/>
      <c r="I50" s="5" t="s">
        <v>38</v>
      </c>
      <c r="J50">
        <v>0.1</v>
      </c>
      <c r="K50" s="5"/>
      <c r="L50" t="s">
        <v>79</v>
      </c>
      <c r="M50" s="10">
        <v>44682</v>
      </c>
      <c r="O50">
        <v>1257</v>
      </c>
      <c r="P50" s="6">
        <f>IF(employees_model[[#This Row],[IsActive]]="Yes",1,0)</f>
        <v>1</v>
      </c>
    </row>
    <row r="51" spans="1:16" x14ac:dyDescent="0.75">
      <c r="A51">
        <v>1049</v>
      </c>
      <c r="B51" s="5" t="s">
        <v>11</v>
      </c>
      <c r="C51" s="5" t="s">
        <v>66</v>
      </c>
      <c r="D51" s="5" t="s">
        <v>25</v>
      </c>
      <c r="E51" s="5" t="s">
        <v>26</v>
      </c>
      <c r="F51" s="5" t="s">
        <v>35</v>
      </c>
      <c r="G51" s="2">
        <v>45899</v>
      </c>
      <c r="H51" s="2">
        <v>45935</v>
      </c>
      <c r="I51" s="5" t="s">
        <v>16</v>
      </c>
      <c r="J51">
        <v>1</v>
      </c>
      <c r="K51" s="5" t="s">
        <v>17</v>
      </c>
      <c r="L51" t="s">
        <v>78</v>
      </c>
      <c r="M51" s="10">
        <v>45870</v>
      </c>
      <c r="N51" s="10">
        <v>45931</v>
      </c>
      <c r="O51">
        <v>36</v>
      </c>
      <c r="P51" s="6">
        <f>IF(employees_model[[#This Row],[IsActive]]="Yes",1,0)</f>
        <v>0</v>
      </c>
    </row>
    <row r="52" spans="1:16" x14ac:dyDescent="0.75">
      <c r="A52">
        <v>1050</v>
      </c>
      <c r="B52" s="5" t="s">
        <v>47</v>
      </c>
      <c r="C52" s="5" t="s">
        <v>52</v>
      </c>
      <c r="D52" s="5" t="s">
        <v>41</v>
      </c>
      <c r="E52" s="5" t="s">
        <v>42</v>
      </c>
      <c r="F52" s="5" t="s">
        <v>27</v>
      </c>
      <c r="G52" s="2">
        <v>45773</v>
      </c>
      <c r="H52" s="2"/>
      <c r="I52" s="5" t="s">
        <v>38</v>
      </c>
      <c r="J52">
        <v>0.1</v>
      </c>
      <c r="K52" s="5"/>
      <c r="L52" t="s">
        <v>79</v>
      </c>
      <c r="M52" s="10">
        <v>45748</v>
      </c>
      <c r="O52">
        <v>189</v>
      </c>
      <c r="P52" s="6">
        <f>IF(employees_model[[#This Row],[IsActive]]="Yes",1,0)</f>
        <v>1</v>
      </c>
    </row>
    <row r="53" spans="1:16" x14ac:dyDescent="0.75">
      <c r="A53">
        <v>1051</v>
      </c>
      <c r="B53" s="5" t="s">
        <v>56</v>
      </c>
      <c r="C53" s="5" t="s">
        <v>66</v>
      </c>
      <c r="D53" s="5" t="s">
        <v>25</v>
      </c>
      <c r="E53" s="5" t="s">
        <v>67</v>
      </c>
      <c r="F53" s="5" t="s">
        <v>27</v>
      </c>
      <c r="G53" s="2">
        <v>45898</v>
      </c>
      <c r="H53" s="2"/>
      <c r="I53" s="5" t="s">
        <v>38</v>
      </c>
      <c r="J53">
        <v>0.2</v>
      </c>
      <c r="K53" s="5"/>
      <c r="L53" t="s">
        <v>79</v>
      </c>
      <c r="M53" s="10">
        <v>45870</v>
      </c>
      <c r="O53">
        <v>64</v>
      </c>
      <c r="P53" s="6">
        <f>IF(employees_model[[#This Row],[IsActive]]="Yes",1,0)</f>
        <v>1</v>
      </c>
    </row>
    <row r="54" spans="1:16" x14ac:dyDescent="0.75">
      <c r="A54">
        <v>1052</v>
      </c>
      <c r="B54" s="5" t="s">
        <v>50</v>
      </c>
      <c r="C54" s="5" t="s">
        <v>32</v>
      </c>
      <c r="D54" s="5" t="s">
        <v>25</v>
      </c>
      <c r="E54" s="5" t="s">
        <v>26</v>
      </c>
      <c r="F54" s="5" t="s">
        <v>43</v>
      </c>
      <c r="G54" s="2">
        <v>44959</v>
      </c>
      <c r="H54" s="2">
        <v>45207</v>
      </c>
      <c r="I54" s="5" t="s">
        <v>36</v>
      </c>
      <c r="J54">
        <v>0.6</v>
      </c>
      <c r="K54" s="5" t="s">
        <v>17</v>
      </c>
      <c r="L54" t="s">
        <v>78</v>
      </c>
      <c r="M54" s="10">
        <v>44958</v>
      </c>
      <c r="N54" s="10">
        <v>45200</v>
      </c>
      <c r="O54">
        <v>248</v>
      </c>
      <c r="P54" s="6">
        <f>IF(employees_model[[#This Row],[IsActive]]="Yes",1,0)</f>
        <v>0</v>
      </c>
    </row>
    <row r="55" spans="1:16" x14ac:dyDescent="0.75">
      <c r="A55">
        <v>1053</v>
      </c>
      <c r="B55" s="5" t="s">
        <v>37</v>
      </c>
      <c r="C55" s="5" t="s">
        <v>54</v>
      </c>
      <c r="D55" s="5" t="s">
        <v>13</v>
      </c>
      <c r="E55" s="5" t="s">
        <v>14</v>
      </c>
      <c r="F55" s="5" t="s">
        <v>27</v>
      </c>
      <c r="G55" s="2">
        <v>45171</v>
      </c>
      <c r="H55" s="2"/>
      <c r="I55" s="5" t="s">
        <v>16</v>
      </c>
      <c r="J55">
        <v>0.8</v>
      </c>
      <c r="K55" s="5"/>
      <c r="L55" t="s">
        <v>79</v>
      </c>
      <c r="M55" s="10">
        <v>45170</v>
      </c>
      <c r="O55">
        <v>791</v>
      </c>
      <c r="P55" s="6">
        <f>IF(employees_model[[#This Row],[IsActive]]="Yes",1,0)</f>
        <v>1</v>
      </c>
    </row>
    <row r="56" spans="1:16" x14ac:dyDescent="0.75">
      <c r="A56">
        <v>1054</v>
      </c>
      <c r="B56" s="5" t="s">
        <v>71</v>
      </c>
      <c r="C56" s="5" t="s">
        <v>24</v>
      </c>
      <c r="D56" s="5" t="s">
        <v>20</v>
      </c>
      <c r="E56" s="5" t="s">
        <v>34</v>
      </c>
      <c r="F56" s="5" t="s">
        <v>43</v>
      </c>
      <c r="G56" s="2">
        <v>45359</v>
      </c>
      <c r="H56" s="2"/>
      <c r="I56" s="5" t="s">
        <v>36</v>
      </c>
      <c r="J56">
        <v>0.7</v>
      </c>
      <c r="K56" s="5"/>
      <c r="L56" t="s">
        <v>79</v>
      </c>
      <c r="M56" s="10">
        <v>45352</v>
      </c>
      <c r="O56">
        <v>603</v>
      </c>
      <c r="P56" s="6">
        <f>IF(employees_model[[#This Row],[IsActive]]="Yes",1,0)</f>
        <v>1</v>
      </c>
    </row>
    <row r="57" spans="1:16" x14ac:dyDescent="0.75">
      <c r="A57">
        <v>1055</v>
      </c>
      <c r="B57" s="5" t="s">
        <v>58</v>
      </c>
      <c r="C57" s="5" t="s">
        <v>29</v>
      </c>
      <c r="D57" s="5" t="s">
        <v>25</v>
      </c>
      <c r="E57" s="5" t="s">
        <v>26</v>
      </c>
      <c r="F57" s="5" t="s">
        <v>35</v>
      </c>
      <c r="G57" s="2">
        <v>45636</v>
      </c>
      <c r="H57" s="2">
        <v>45936</v>
      </c>
      <c r="I57" s="5" t="s">
        <v>38</v>
      </c>
      <c r="J57">
        <v>0.3</v>
      </c>
      <c r="K57" s="5" t="s">
        <v>22</v>
      </c>
      <c r="L57" t="s">
        <v>78</v>
      </c>
      <c r="M57" s="10">
        <v>45627</v>
      </c>
      <c r="N57" s="10">
        <v>45931</v>
      </c>
      <c r="O57">
        <v>300</v>
      </c>
      <c r="P57" s="6">
        <f>IF(employees_model[[#This Row],[IsActive]]="Yes",1,0)</f>
        <v>0</v>
      </c>
    </row>
    <row r="58" spans="1:16" x14ac:dyDescent="0.75">
      <c r="A58">
        <v>1056</v>
      </c>
      <c r="B58" s="5" t="s">
        <v>18</v>
      </c>
      <c r="C58" s="5" t="s">
        <v>33</v>
      </c>
      <c r="D58" s="5" t="s">
        <v>13</v>
      </c>
      <c r="E58" s="5" t="s">
        <v>60</v>
      </c>
      <c r="F58" s="5" t="s">
        <v>43</v>
      </c>
      <c r="G58" s="2">
        <v>45153</v>
      </c>
      <c r="H58" s="2"/>
      <c r="I58" s="5" t="s">
        <v>36</v>
      </c>
      <c r="J58">
        <v>0.7</v>
      </c>
      <c r="K58" s="5"/>
      <c r="L58" t="s">
        <v>79</v>
      </c>
      <c r="M58" s="10">
        <v>45139</v>
      </c>
      <c r="O58">
        <v>809</v>
      </c>
      <c r="P58" s="6">
        <f>IF(employees_model[[#This Row],[IsActive]]="Yes",1,0)</f>
        <v>1</v>
      </c>
    </row>
    <row r="59" spans="1:16" x14ac:dyDescent="0.75">
      <c r="A59">
        <v>1057</v>
      </c>
      <c r="B59" s="5" t="s">
        <v>58</v>
      </c>
      <c r="C59" s="5" t="s">
        <v>63</v>
      </c>
      <c r="D59" s="5" t="s">
        <v>41</v>
      </c>
      <c r="E59" s="5" t="s">
        <v>55</v>
      </c>
      <c r="F59" s="5" t="s">
        <v>35</v>
      </c>
      <c r="G59" s="2">
        <v>44740</v>
      </c>
      <c r="H59" s="2">
        <v>45335</v>
      </c>
      <c r="I59" s="5" t="s">
        <v>16</v>
      </c>
      <c r="J59">
        <v>1</v>
      </c>
      <c r="K59" s="5" t="s">
        <v>22</v>
      </c>
      <c r="L59" t="s">
        <v>78</v>
      </c>
      <c r="M59" s="10">
        <v>44713</v>
      </c>
      <c r="N59" s="10">
        <v>45323</v>
      </c>
      <c r="O59">
        <v>595</v>
      </c>
      <c r="P59" s="6">
        <f>IF(employees_model[[#This Row],[IsActive]]="Yes",1,0)</f>
        <v>0</v>
      </c>
    </row>
    <row r="60" spans="1:16" x14ac:dyDescent="0.75">
      <c r="A60">
        <v>1058</v>
      </c>
      <c r="B60" s="5" t="s">
        <v>18</v>
      </c>
      <c r="C60" s="5" t="s">
        <v>29</v>
      </c>
      <c r="D60" s="5" t="s">
        <v>13</v>
      </c>
      <c r="E60" s="5" t="s">
        <v>72</v>
      </c>
      <c r="F60" s="5" t="s">
        <v>43</v>
      </c>
      <c r="G60" s="2">
        <v>45102</v>
      </c>
      <c r="H60" s="2"/>
      <c r="I60" s="5" t="s">
        <v>38</v>
      </c>
      <c r="J60">
        <v>0.3</v>
      </c>
      <c r="K60" s="5"/>
      <c r="L60" t="s">
        <v>79</v>
      </c>
      <c r="M60" s="10">
        <v>45078</v>
      </c>
      <c r="O60">
        <v>860</v>
      </c>
      <c r="P60" s="6">
        <f>IF(employees_model[[#This Row],[IsActive]]="Yes",1,0)</f>
        <v>1</v>
      </c>
    </row>
    <row r="61" spans="1:16" x14ac:dyDescent="0.75">
      <c r="A61">
        <v>1059</v>
      </c>
      <c r="B61" s="5" t="s">
        <v>11</v>
      </c>
      <c r="C61" s="5" t="s">
        <v>54</v>
      </c>
      <c r="D61" s="5" t="s">
        <v>30</v>
      </c>
      <c r="E61" s="5" t="s">
        <v>64</v>
      </c>
      <c r="F61" s="5" t="s">
        <v>35</v>
      </c>
      <c r="G61" s="2">
        <v>44661</v>
      </c>
      <c r="H61" s="2"/>
      <c r="I61" s="5" t="s">
        <v>38</v>
      </c>
      <c r="J61">
        <v>0.2</v>
      </c>
      <c r="K61" s="5"/>
      <c r="L61" t="s">
        <v>79</v>
      </c>
      <c r="M61" s="10">
        <v>44652</v>
      </c>
      <c r="O61">
        <v>1301</v>
      </c>
      <c r="P61" s="6">
        <f>IF(employees_model[[#This Row],[IsActive]]="Yes",1,0)</f>
        <v>1</v>
      </c>
    </row>
    <row r="62" spans="1:16" x14ac:dyDescent="0.75">
      <c r="A62">
        <v>1060</v>
      </c>
      <c r="B62" s="5" t="s">
        <v>39</v>
      </c>
      <c r="C62" s="5" t="s">
        <v>66</v>
      </c>
      <c r="D62" s="5" t="s">
        <v>13</v>
      </c>
      <c r="E62" s="5" t="s">
        <v>60</v>
      </c>
      <c r="F62" s="5" t="s">
        <v>35</v>
      </c>
      <c r="G62" s="2">
        <v>45746</v>
      </c>
      <c r="H62" s="2"/>
      <c r="I62" s="5" t="s">
        <v>38</v>
      </c>
      <c r="J62">
        <v>0.2</v>
      </c>
      <c r="K62" s="5"/>
      <c r="L62" t="s">
        <v>79</v>
      </c>
      <c r="M62" s="10">
        <v>45717</v>
      </c>
      <c r="O62">
        <v>216</v>
      </c>
      <c r="P62" s="6">
        <f>IF(employees_model[[#This Row],[IsActive]]="Yes",1,0)</f>
        <v>1</v>
      </c>
    </row>
    <row r="63" spans="1:16" x14ac:dyDescent="0.75">
      <c r="A63">
        <v>1061</v>
      </c>
      <c r="B63" s="5" t="s">
        <v>37</v>
      </c>
      <c r="C63" s="5" t="s">
        <v>54</v>
      </c>
      <c r="D63" s="5" t="s">
        <v>13</v>
      </c>
      <c r="E63" s="5" t="s">
        <v>53</v>
      </c>
      <c r="F63" s="5" t="s">
        <v>27</v>
      </c>
      <c r="G63" s="2">
        <v>44805</v>
      </c>
      <c r="H63" s="2">
        <v>45936</v>
      </c>
      <c r="I63" s="5" t="s">
        <v>16</v>
      </c>
      <c r="J63">
        <v>0.9</v>
      </c>
      <c r="K63" s="5" t="s">
        <v>17</v>
      </c>
      <c r="L63" t="s">
        <v>78</v>
      </c>
      <c r="M63" s="10">
        <v>44805</v>
      </c>
      <c r="N63" s="10">
        <v>45931</v>
      </c>
      <c r="O63">
        <v>1131</v>
      </c>
      <c r="P63" s="6">
        <f>IF(employees_model[[#This Row],[IsActive]]="Yes",1,0)</f>
        <v>0</v>
      </c>
    </row>
    <row r="64" spans="1:16" x14ac:dyDescent="0.75">
      <c r="A64">
        <v>1062</v>
      </c>
      <c r="B64" s="5" t="s">
        <v>44</v>
      </c>
      <c r="C64" s="5" t="s">
        <v>54</v>
      </c>
      <c r="D64" s="5" t="s">
        <v>25</v>
      </c>
      <c r="E64" s="5" t="s">
        <v>26</v>
      </c>
      <c r="F64" s="5" t="s">
        <v>43</v>
      </c>
      <c r="G64" s="2">
        <v>44712</v>
      </c>
      <c r="H64" s="2">
        <v>45578</v>
      </c>
      <c r="I64" s="5" t="s">
        <v>16</v>
      </c>
      <c r="J64">
        <v>0.8</v>
      </c>
      <c r="K64" s="5" t="s">
        <v>17</v>
      </c>
      <c r="L64" t="s">
        <v>78</v>
      </c>
      <c r="M64" s="10">
        <v>44682</v>
      </c>
      <c r="N64" s="10">
        <v>45566</v>
      </c>
      <c r="O64">
        <v>866</v>
      </c>
      <c r="P64" s="6">
        <f>IF(employees_model[[#This Row],[IsActive]]="Yes",1,0)</f>
        <v>0</v>
      </c>
    </row>
    <row r="65" spans="1:16" x14ac:dyDescent="0.75">
      <c r="A65">
        <v>1063</v>
      </c>
      <c r="B65" s="5" t="s">
        <v>44</v>
      </c>
      <c r="C65" s="5" t="s">
        <v>19</v>
      </c>
      <c r="D65" s="5" t="s">
        <v>20</v>
      </c>
      <c r="E65" s="5" t="s">
        <v>21</v>
      </c>
      <c r="F65" s="5" t="s">
        <v>15</v>
      </c>
      <c r="G65" s="2">
        <v>45003</v>
      </c>
      <c r="H65" s="2"/>
      <c r="I65" s="5" t="s">
        <v>16</v>
      </c>
      <c r="J65">
        <v>0.8</v>
      </c>
      <c r="K65" s="5"/>
      <c r="L65" t="s">
        <v>79</v>
      </c>
      <c r="M65" s="10">
        <v>44986</v>
      </c>
      <c r="O65">
        <v>959</v>
      </c>
      <c r="P65" s="6">
        <f>IF(employees_model[[#This Row],[IsActive]]="Yes",1,0)</f>
        <v>1</v>
      </c>
    </row>
    <row r="66" spans="1:16" x14ac:dyDescent="0.75">
      <c r="A66">
        <v>1064</v>
      </c>
      <c r="B66" s="5" t="s">
        <v>56</v>
      </c>
      <c r="C66" s="5" t="s">
        <v>19</v>
      </c>
      <c r="D66" s="5" t="s">
        <v>41</v>
      </c>
      <c r="E66" s="5" t="s">
        <v>70</v>
      </c>
      <c r="F66" s="5" t="s">
        <v>27</v>
      </c>
      <c r="G66" s="2">
        <v>44928</v>
      </c>
      <c r="H66" s="2"/>
      <c r="I66" s="5" t="s">
        <v>36</v>
      </c>
      <c r="J66">
        <v>0.7</v>
      </c>
      <c r="K66" s="5"/>
      <c r="L66" t="s">
        <v>79</v>
      </c>
      <c r="M66" s="10">
        <v>44927</v>
      </c>
      <c r="O66">
        <v>1034</v>
      </c>
      <c r="P66" s="6">
        <f>IF(employees_model[[#This Row],[IsActive]]="Yes",1,0)</f>
        <v>1</v>
      </c>
    </row>
    <row r="67" spans="1:16" x14ac:dyDescent="0.75">
      <c r="A67">
        <v>1065</v>
      </c>
      <c r="B67" s="5" t="s">
        <v>39</v>
      </c>
      <c r="C67" s="5" t="s">
        <v>32</v>
      </c>
      <c r="D67" s="5" t="s">
        <v>25</v>
      </c>
      <c r="E67" s="5" t="s">
        <v>61</v>
      </c>
      <c r="F67" s="5" t="s">
        <v>35</v>
      </c>
      <c r="G67" s="2">
        <v>45398</v>
      </c>
      <c r="H67" s="2"/>
      <c r="I67" s="5" t="s">
        <v>16</v>
      </c>
      <c r="J67">
        <v>1</v>
      </c>
      <c r="K67" s="5"/>
      <c r="L67" t="s">
        <v>79</v>
      </c>
      <c r="M67" s="10">
        <v>45383</v>
      </c>
      <c r="O67">
        <v>564</v>
      </c>
      <c r="P67" s="6">
        <f>IF(employees_model[[#This Row],[IsActive]]="Yes",1,0)</f>
        <v>1</v>
      </c>
    </row>
    <row r="68" spans="1:16" x14ac:dyDescent="0.75">
      <c r="A68">
        <v>1066</v>
      </c>
      <c r="B68" s="5" t="s">
        <v>11</v>
      </c>
      <c r="C68" s="5" t="s">
        <v>12</v>
      </c>
      <c r="D68" s="5" t="s">
        <v>13</v>
      </c>
      <c r="E68" s="5" t="s">
        <v>65</v>
      </c>
      <c r="F68" s="5" t="s">
        <v>43</v>
      </c>
      <c r="G68" s="2">
        <v>44734</v>
      </c>
      <c r="H68" s="2"/>
      <c r="I68" s="5" t="s">
        <v>36</v>
      </c>
      <c r="J68">
        <v>0.5</v>
      </c>
      <c r="K68" s="5"/>
      <c r="L68" t="s">
        <v>79</v>
      </c>
      <c r="M68" s="10">
        <v>44713</v>
      </c>
      <c r="O68">
        <v>1228</v>
      </c>
      <c r="P68" s="6">
        <f>IF(employees_model[[#This Row],[IsActive]]="Yes",1,0)</f>
        <v>1</v>
      </c>
    </row>
    <row r="69" spans="1:16" x14ac:dyDescent="0.75">
      <c r="A69">
        <v>1067</v>
      </c>
      <c r="B69" s="5" t="s">
        <v>62</v>
      </c>
      <c r="C69" s="5" t="s">
        <v>52</v>
      </c>
      <c r="D69" s="5" t="s">
        <v>30</v>
      </c>
      <c r="E69" s="5" t="s">
        <v>51</v>
      </c>
      <c r="F69" s="5" t="s">
        <v>35</v>
      </c>
      <c r="G69" s="2">
        <v>45112</v>
      </c>
      <c r="H69" s="2">
        <v>45851</v>
      </c>
      <c r="I69" s="5" t="s">
        <v>16</v>
      </c>
      <c r="J69">
        <v>0.9</v>
      </c>
      <c r="K69" s="5" t="s">
        <v>17</v>
      </c>
      <c r="L69" t="s">
        <v>78</v>
      </c>
      <c r="M69" s="10">
        <v>45108</v>
      </c>
      <c r="N69" s="10">
        <v>45839</v>
      </c>
      <c r="O69">
        <v>739</v>
      </c>
      <c r="P69" s="6">
        <f>IF(employees_model[[#This Row],[IsActive]]="Yes",1,0)</f>
        <v>0</v>
      </c>
    </row>
    <row r="70" spans="1:16" x14ac:dyDescent="0.75">
      <c r="A70">
        <v>1068</v>
      </c>
      <c r="B70" s="5" t="s">
        <v>56</v>
      </c>
      <c r="C70" s="5" t="s">
        <v>66</v>
      </c>
      <c r="D70" s="5" t="s">
        <v>20</v>
      </c>
      <c r="E70" s="5" t="s">
        <v>21</v>
      </c>
      <c r="F70" s="5" t="s">
        <v>35</v>
      </c>
      <c r="G70" s="2">
        <v>44642</v>
      </c>
      <c r="H70" s="2">
        <v>45951</v>
      </c>
      <c r="I70" s="5" t="s">
        <v>16</v>
      </c>
      <c r="J70">
        <v>0.9</v>
      </c>
      <c r="K70" s="5" t="s">
        <v>22</v>
      </c>
      <c r="L70" t="s">
        <v>78</v>
      </c>
      <c r="M70" s="10">
        <v>44621</v>
      </c>
      <c r="N70" s="10">
        <v>45931</v>
      </c>
      <c r="O70">
        <v>1309</v>
      </c>
      <c r="P70" s="6">
        <f>IF(employees_model[[#This Row],[IsActive]]="Yes",1,0)</f>
        <v>0</v>
      </c>
    </row>
    <row r="71" spans="1:16" x14ac:dyDescent="0.75">
      <c r="A71">
        <v>1069</v>
      </c>
      <c r="B71" s="5" t="s">
        <v>23</v>
      </c>
      <c r="C71" s="5" t="s">
        <v>66</v>
      </c>
      <c r="D71" s="5" t="s">
        <v>20</v>
      </c>
      <c r="E71" s="5" t="s">
        <v>40</v>
      </c>
      <c r="F71" s="5" t="s">
        <v>15</v>
      </c>
      <c r="G71" s="2">
        <v>45083</v>
      </c>
      <c r="H71" s="2">
        <v>45131</v>
      </c>
      <c r="I71" s="5" t="s">
        <v>38</v>
      </c>
      <c r="J71">
        <v>0.2</v>
      </c>
      <c r="K71" s="5" t="s">
        <v>17</v>
      </c>
      <c r="L71" t="s">
        <v>78</v>
      </c>
      <c r="M71" s="10">
        <v>45078</v>
      </c>
      <c r="N71" s="10">
        <v>45108</v>
      </c>
      <c r="O71">
        <v>48</v>
      </c>
      <c r="P71" s="6">
        <f>IF(employees_model[[#This Row],[IsActive]]="Yes",1,0)</f>
        <v>0</v>
      </c>
    </row>
    <row r="72" spans="1:16" x14ac:dyDescent="0.75">
      <c r="A72">
        <v>1070</v>
      </c>
      <c r="B72" s="5" t="s">
        <v>44</v>
      </c>
      <c r="C72" s="5" t="s">
        <v>24</v>
      </c>
      <c r="D72" s="5" t="s">
        <v>41</v>
      </c>
      <c r="E72" s="5" t="s">
        <v>55</v>
      </c>
      <c r="F72" s="5" t="s">
        <v>35</v>
      </c>
      <c r="G72" s="2">
        <v>44627</v>
      </c>
      <c r="H72" s="2">
        <v>45158</v>
      </c>
      <c r="I72" s="5" t="s">
        <v>38</v>
      </c>
      <c r="J72">
        <v>0.1</v>
      </c>
      <c r="K72" s="5" t="s">
        <v>49</v>
      </c>
      <c r="L72" t="s">
        <v>78</v>
      </c>
      <c r="M72" s="10">
        <v>44621</v>
      </c>
      <c r="N72" s="10">
        <v>45139</v>
      </c>
      <c r="O72">
        <v>531</v>
      </c>
      <c r="P72" s="6">
        <f>IF(employees_model[[#This Row],[IsActive]]="Yes",1,0)</f>
        <v>0</v>
      </c>
    </row>
    <row r="73" spans="1:16" x14ac:dyDescent="0.75">
      <c r="A73">
        <v>1071</v>
      </c>
      <c r="B73" s="5" t="s">
        <v>11</v>
      </c>
      <c r="C73" s="5" t="s">
        <v>57</v>
      </c>
      <c r="D73" s="5" t="s">
        <v>20</v>
      </c>
      <c r="E73" s="5" t="s">
        <v>34</v>
      </c>
      <c r="F73" s="5" t="s">
        <v>27</v>
      </c>
      <c r="G73" s="2">
        <v>44785</v>
      </c>
      <c r="H73" s="2">
        <v>45950</v>
      </c>
      <c r="I73" s="5" t="s">
        <v>36</v>
      </c>
      <c r="J73">
        <v>0.6</v>
      </c>
      <c r="K73" s="5" t="s">
        <v>17</v>
      </c>
      <c r="L73" t="s">
        <v>78</v>
      </c>
      <c r="M73" s="10">
        <v>44774</v>
      </c>
      <c r="N73" s="10">
        <v>45931</v>
      </c>
      <c r="O73">
        <v>1165</v>
      </c>
      <c r="P73" s="6">
        <f>IF(employees_model[[#This Row],[IsActive]]="Yes",1,0)</f>
        <v>0</v>
      </c>
    </row>
    <row r="74" spans="1:16" x14ac:dyDescent="0.75">
      <c r="A74">
        <v>1072</v>
      </c>
      <c r="B74" s="5" t="s">
        <v>50</v>
      </c>
      <c r="C74" s="5" t="s">
        <v>69</v>
      </c>
      <c r="D74" s="5" t="s">
        <v>30</v>
      </c>
      <c r="E74" s="5" t="s">
        <v>51</v>
      </c>
      <c r="F74" s="5" t="s">
        <v>43</v>
      </c>
      <c r="G74" s="2">
        <v>45235</v>
      </c>
      <c r="H74" s="2"/>
      <c r="I74" s="5" t="s">
        <v>16</v>
      </c>
      <c r="J74">
        <v>0.9</v>
      </c>
      <c r="K74" s="5"/>
      <c r="L74" t="s">
        <v>79</v>
      </c>
      <c r="M74" s="10">
        <v>45231</v>
      </c>
      <c r="O74">
        <v>727</v>
      </c>
      <c r="P74" s="6">
        <f>IF(employees_model[[#This Row],[IsActive]]="Yes",1,0)</f>
        <v>1</v>
      </c>
    </row>
    <row r="75" spans="1:16" x14ac:dyDescent="0.75">
      <c r="A75">
        <v>1073</v>
      </c>
      <c r="B75" s="5" t="s">
        <v>18</v>
      </c>
      <c r="C75" s="5" t="s">
        <v>19</v>
      </c>
      <c r="D75" s="5" t="s">
        <v>30</v>
      </c>
      <c r="E75" s="5" t="s">
        <v>31</v>
      </c>
      <c r="F75" s="5" t="s">
        <v>43</v>
      </c>
      <c r="G75" s="2">
        <v>44768</v>
      </c>
      <c r="H75" s="2"/>
      <c r="I75" s="5" t="s">
        <v>38</v>
      </c>
      <c r="J75">
        <v>0.3</v>
      </c>
      <c r="K75" s="5"/>
      <c r="L75" t="s">
        <v>79</v>
      </c>
      <c r="M75" s="10">
        <v>44743</v>
      </c>
      <c r="O75">
        <v>1194</v>
      </c>
      <c r="P75" s="6">
        <f>IF(employees_model[[#This Row],[IsActive]]="Yes",1,0)</f>
        <v>1</v>
      </c>
    </row>
    <row r="76" spans="1:16" x14ac:dyDescent="0.75">
      <c r="A76">
        <v>1074</v>
      </c>
      <c r="B76" s="5" t="s">
        <v>71</v>
      </c>
      <c r="C76" s="5" t="s">
        <v>19</v>
      </c>
      <c r="D76" s="5" t="s">
        <v>13</v>
      </c>
      <c r="E76" s="5" t="s">
        <v>65</v>
      </c>
      <c r="F76" s="5" t="s">
        <v>35</v>
      </c>
      <c r="G76" s="2">
        <v>44821</v>
      </c>
      <c r="H76" s="2"/>
      <c r="I76" s="5" t="s">
        <v>36</v>
      </c>
      <c r="J76">
        <v>0.7</v>
      </c>
      <c r="K76" s="5"/>
      <c r="L76" t="s">
        <v>79</v>
      </c>
      <c r="M76" s="10">
        <v>44805</v>
      </c>
      <c r="O76">
        <v>1141</v>
      </c>
      <c r="P76" s="6">
        <f>IF(employees_model[[#This Row],[IsActive]]="Yes",1,0)</f>
        <v>1</v>
      </c>
    </row>
    <row r="77" spans="1:16" x14ac:dyDescent="0.75">
      <c r="A77">
        <v>1075</v>
      </c>
      <c r="B77" s="5" t="s">
        <v>62</v>
      </c>
      <c r="C77" s="5" t="s">
        <v>33</v>
      </c>
      <c r="D77" s="5" t="s">
        <v>30</v>
      </c>
      <c r="E77" s="5" t="s">
        <v>64</v>
      </c>
      <c r="F77" s="5" t="s">
        <v>35</v>
      </c>
      <c r="G77" s="2">
        <v>45040</v>
      </c>
      <c r="H77" s="2"/>
      <c r="I77" s="5" t="s">
        <v>36</v>
      </c>
      <c r="J77">
        <v>0.7</v>
      </c>
      <c r="K77" s="5"/>
      <c r="L77" t="s">
        <v>79</v>
      </c>
      <c r="M77" s="10">
        <v>45017</v>
      </c>
      <c r="O77">
        <v>922</v>
      </c>
      <c r="P77" s="6">
        <f>IF(employees_model[[#This Row],[IsActive]]="Yes",1,0)</f>
        <v>1</v>
      </c>
    </row>
    <row r="78" spans="1:16" x14ac:dyDescent="0.75">
      <c r="A78">
        <v>1076</v>
      </c>
      <c r="B78" s="5" t="s">
        <v>62</v>
      </c>
      <c r="C78" s="5" t="s">
        <v>24</v>
      </c>
      <c r="D78" s="5" t="s">
        <v>20</v>
      </c>
      <c r="E78" s="5" t="s">
        <v>34</v>
      </c>
      <c r="F78" s="5" t="s">
        <v>35</v>
      </c>
      <c r="G78" s="2">
        <v>45683</v>
      </c>
      <c r="H78" s="2"/>
      <c r="I78" s="5" t="s">
        <v>16</v>
      </c>
      <c r="J78">
        <v>0.8</v>
      </c>
      <c r="K78" s="5"/>
      <c r="L78" t="s">
        <v>79</v>
      </c>
      <c r="M78" s="10">
        <v>45658</v>
      </c>
      <c r="O78">
        <v>279</v>
      </c>
      <c r="P78" s="6">
        <f>IF(employees_model[[#This Row],[IsActive]]="Yes",1,0)</f>
        <v>1</v>
      </c>
    </row>
    <row r="79" spans="1:16" x14ac:dyDescent="0.75">
      <c r="A79">
        <v>1077</v>
      </c>
      <c r="B79" s="5" t="s">
        <v>37</v>
      </c>
      <c r="C79" s="5" t="s">
        <v>24</v>
      </c>
      <c r="D79" s="5" t="s">
        <v>25</v>
      </c>
      <c r="E79" s="5" t="s">
        <v>26</v>
      </c>
      <c r="F79" s="5" t="s">
        <v>27</v>
      </c>
      <c r="G79" s="2">
        <v>45206</v>
      </c>
      <c r="H79" s="2">
        <v>45537</v>
      </c>
      <c r="I79" s="5" t="s">
        <v>16</v>
      </c>
      <c r="J79">
        <v>1</v>
      </c>
      <c r="K79" s="5" t="s">
        <v>17</v>
      </c>
      <c r="L79" t="s">
        <v>78</v>
      </c>
      <c r="M79" s="10">
        <v>45200</v>
      </c>
      <c r="N79" s="10">
        <v>45536</v>
      </c>
      <c r="O79">
        <v>331</v>
      </c>
      <c r="P79" s="6">
        <f>IF(employees_model[[#This Row],[IsActive]]="Yes",1,0)</f>
        <v>0</v>
      </c>
    </row>
    <row r="80" spans="1:16" x14ac:dyDescent="0.75">
      <c r="A80">
        <v>1078</v>
      </c>
      <c r="B80" s="5" t="s">
        <v>39</v>
      </c>
      <c r="C80" s="5" t="s">
        <v>24</v>
      </c>
      <c r="D80" s="5" t="s">
        <v>41</v>
      </c>
      <c r="E80" s="5" t="s">
        <v>48</v>
      </c>
      <c r="F80" s="5" t="s">
        <v>15</v>
      </c>
      <c r="G80" s="2">
        <v>45708</v>
      </c>
      <c r="H80" s="2"/>
      <c r="I80" s="5" t="s">
        <v>16</v>
      </c>
      <c r="J80">
        <v>0.9</v>
      </c>
      <c r="K80" s="5"/>
      <c r="L80" t="s">
        <v>79</v>
      </c>
      <c r="M80" s="10">
        <v>45689</v>
      </c>
      <c r="O80">
        <v>254</v>
      </c>
      <c r="P80" s="6">
        <f>IF(employees_model[[#This Row],[IsActive]]="Yes",1,0)</f>
        <v>1</v>
      </c>
    </row>
    <row r="81" spans="1:16" x14ac:dyDescent="0.75">
      <c r="A81">
        <v>1079</v>
      </c>
      <c r="B81" s="5" t="s">
        <v>44</v>
      </c>
      <c r="C81" s="5" t="s">
        <v>66</v>
      </c>
      <c r="D81" s="5" t="s">
        <v>30</v>
      </c>
      <c r="E81" s="5" t="s">
        <v>31</v>
      </c>
      <c r="F81" s="5" t="s">
        <v>35</v>
      </c>
      <c r="G81" s="2">
        <v>45133</v>
      </c>
      <c r="H81" s="2"/>
      <c r="I81" s="5" t="s">
        <v>36</v>
      </c>
      <c r="J81">
        <v>0.7</v>
      </c>
      <c r="K81" s="5"/>
      <c r="L81" t="s">
        <v>79</v>
      </c>
      <c r="M81" s="10">
        <v>45108</v>
      </c>
      <c r="O81">
        <v>829</v>
      </c>
      <c r="P81" s="6">
        <f>IF(employees_model[[#This Row],[IsActive]]="Yes",1,0)</f>
        <v>1</v>
      </c>
    </row>
    <row r="82" spans="1:16" x14ac:dyDescent="0.75">
      <c r="A82">
        <v>1080</v>
      </c>
      <c r="B82" s="5" t="s">
        <v>58</v>
      </c>
      <c r="C82" s="5" t="s">
        <v>29</v>
      </c>
      <c r="D82" s="5" t="s">
        <v>20</v>
      </c>
      <c r="E82" s="5" t="s">
        <v>21</v>
      </c>
      <c r="F82" s="5" t="s">
        <v>43</v>
      </c>
      <c r="G82" s="2">
        <v>44665</v>
      </c>
      <c r="H82" s="2">
        <v>44992</v>
      </c>
      <c r="I82" s="5" t="s">
        <v>16</v>
      </c>
      <c r="J82">
        <v>1</v>
      </c>
      <c r="K82" s="5" t="s">
        <v>17</v>
      </c>
      <c r="L82" t="s">
        <v>78</v>
      </c>
      <c r="M82" s="10">
        <v>44652</v>
      </c>
      <c r="N82" s="10">
        <v>44986</v>
      </c>
      <c r="O82">
        <v>327</v>
      </c>
      <c r="P82" s="6">
        <f>IF(employees_model[[#This Row],[IsActive]]="Yes",1,0)</f>
        <v>0</v>
      </c>
    </row>
    <row r="83" spans="1:16" x14ac:dyDescent="0.75">
      <c r="A83">
        <v>1081</v>
      </c>
      <c r="B83" s="5" t="s">
        <v>44</v>
      </c>
      <c r="C83" s="5" t="s">
        <v>29</v>
      </c>
      <c r="D83" s="5" t="s">
        <v>13</v>
      </c>
      <c r="E83" s="5" t="s">
        <v>53</v>
      </c>
      <c r="F83" s="5" t="s">
        <v>15</v>
      </c>
      <c r="G83" s="2">
        <v>44619</v>
      </c>
      <c r="H83" s="2"/>
      <c r="I83" s="5" t="s">
        <v>16</v>
      </c>
      <c r="J83">
        <v>0.9</v>
      </c>
      <c r="K83" s="5"/>
      <c r="L83" t="s">
        <v>79</v>
      </c>
      <c r="M83" s="10">
        <v>44593</v>
      </c>
      <c r="O83">
        <v>1343</v>
      </c>
      <c r="P83" s="6">
        <f>IF(employees_model[[#This Row],[IsActive]]="Yes",1,0)</f>
        <v>1</v>
      </c>
    </row>
    <row r="84" spans="1:16" x14ac:dyDescent="0.75">
      <c r="A84">
        <v>1082</v>
      </c>
      <c r="B84" s="5" t="s">
        <v>50</v>
      </c>
      <c r="C84" s="5" t="s">
        <v>19</v>
      </c>
      <c r="D84" s="5" t="s">
        <v>20</v>
      </c>
      <c r="E84" s="5" t="s">
        <v>40</v>
      </c>
      <c r="F84" s="5" t="s">
        <v>27</v>
      </c>
      <c r="G84" s="2">
        <v>45155</v>
      </c>
      <c r="H84" s="2">
        <v>45597</v>
      </c>
      <c r="I84" s="5" t="s">
        <v>16</v>
      </c>
      <c r="J84">
        <v>0.8</v>
      </c>
      <c r="K84" s="5" t="s">
        <v>17</v>
      </c>
      <c r="L84" t="s">
        <v>78</v>
      </c>
      <c r="M84" s="10">
        <v>45139</v>
      </c>
      <c r="N84" s="10">
        <v>45597</v>
      </c>
      <c r="O84">
        <v>442</v>
      </c>
      <c r="P84" s="6">
        <f>IF(employees_model[[#This Row],[IsActive]]="Yes",1,0)</f>
        <v>0</v>
      </c>
    </row>
    <row r="85" spans="1:16" x14ac:dyDescent="0.75">
      <c r="A85">
        <v>1083</v>
      </c>
      <c r="B85" s="5" t="s">
        <v>47</v>
      </c>
      <c r="C85" s="5" t="s">
        <v>19</v>
      </c>
      <c r="D85" s="5" t="s">
        <v>30</v>
      </c>
      <c r="E85" s="5" t="s">
        <v>64</v>
      </c>
      <c r="F85" s="5" t="s">
        <v>27</v>
      </c>
      <c r="G85" s="2">
        <v>44662</v>
      </c>
      <c r="H85" s="2"/>
      <c r="I85" s="5" t="s">
        <v>36</v>
      </c>
      <c r="J85">
        <v>0.7</v>
      </c>
      <c r="K85" s="5"/>
      <c r="L85" t="s">
        <v>79</v>
      </c>
      <c r="M85" s="10">
        <v>44652</v>
      </c>
      <c r="O85">
        <v>1300</v>
      </c>
      <c r="P85" s="6">
        <f>IF(employees_model[[#This Row],[IsActive]]="Yes",1,0)</f>
        <v>1</v>
      </c>
    </row>
    <row r="86" spans="1:16" x14ac:dyDescent="0.75">
      <c r="A86">
        <v>1084</v>
      </c>
      <c r="B86" s="5" t="s">
        <v>47</v>
      </c>
      <c r="C86" s="5" t="s">
        <v>57</v>
      </c>
      <c r="D86" s="5" t="s">
        <v>20</v>
      </c>
      <c r="E86" s="5" t="s">
        <v>40</v>
      </c>
      <c r="F86" s="5" t="s">
        <v>43</v>
      </c>
      <c r="G86" s="2">
        <v>45157</v>
      </c>
      <c r="H86" s="2"/>
      <c r="I86" s="5" t="s">
        <v>38</v>
      </c>
      <c r="J86">
        <v>0.2</v>
      </c>
      <c r="K86" s="5"/>
      <c r="L86" t="s">
        <v>79</v>
      </c>
      <c r="M86" s="10">
        <v>45139</v>
      </c>
      <c r="O86">
        <v>805</v>
      </c>
      <c r="P86" s="6">
        <f>IF(employees_model[[#This Row],[IsActive]]="Yes",1,0)</f>
        <v>1</v>
      </c>
    </row>
    <row r="87" spans="1:16" x14ac:dyDescent="0.75">
      <c r="A87">
        <v>1085</v>
      </c>
      <c r="B87" s="5" t="s">
        <v>11</v>
      </c>
      <c r="C87" s="5" t="s">
        <v>66</v>
      </c>
      <c r="D87" s="5" t="s">
        <v>20</v>
      </c>
      <c r="E87" s="5" t="s">
        <v>40</v>
      </c>
      <c r="F87" s="5" t="s">
        <v>43</v>
      </c>
      <c r="G87" s="2">
        <v>45412</v>
      </c>
      <c r="H87" s="2">
        <v>45456</v>
      </c>
      <c r="I87" s="5" t="s">
        <v>36</v>
      </c>
      <c r="J87">
        <v>0.5</v>
      </c>
      <c r="K87" s="5" t="s">
        <v>17</v>
      </c>
      <c r="L87" t="s">
        <v>78</v>
      </c>
      <c r="M87" s="10">
        <v>45383</v>
      </c>
      <c r="N87" s="10">
        <v>45444</v>
      </c>
      <c r="O87">
        <v>44</v>
      </c>
      <c r="P87" s="6">
        <f>IF(employees_model[[#This Row],[IsActive]]="Yes",1,0)</f>
        <v>0</v>
      </c>
    </row>
    <row r="88" spans="1:16" x14ac:dyDescent="0.75">
      <c r="A88">
        <v>1086</v>
      </c>
      <c r="B88" s="5" t="s">
        <v>58</v>
      </c>
      <c r="C88" s="5" t="s">
        <v>29</v>
      </c>
      <c r="D88" s="5" t="s">
        <v>41</v>
      </c>
      <c r="E88" s="5" t="s">
        <v>42</v>
      </c>
      <c r="F88" s="5" t="s">
        <v>43</v>
      </c>
      <c r="G88" s="2">
        <v>45658</v>
      </c>
      <c r="H88" s="2"/>
      <c r="I88" s="5" t="s">
        <v>36</v>
      </c>
      <c r="J88">
        <v>0.6</v>
      </c>
      <c r="K88" s="5"/>
      <c r="L88" t="s">
        <v>79</v>
      </c>
      <c r="M88" s="10">
        <v>45658</v>
      </c>
      <c r="O88">
        <v>304</v>
      </c>
      <c r="P88" s="6">
        <f>IF(employees_model[[#This Row],[IsActive]]="Yes",1,0)</f>
        <v>1</v>
      </c>
    </row>
    <row r="89" spans="1:16" x14ac:dyDescent="0.75">
      <c r="A89">
        <v>1087</v>
      </c>
      <c r="B89" s="5" t="s">
        <v>37</v>
      </c>
      <c r="C89" s="5" t="s">
        <v>66</v>
      </c>
      <c r="D89" s="5" t="s">
        <v>20</v>
      </c>
      <c r="E89" s="5" t="s">
        <v>40</v>
      </c>
      <c r="F89" s="5" t="s">
        <v>35</v>
      </c>
      <c r="G89" s="2">
        <v>44798</v>
      </c>
      <c r="H89" s="2"/>
      <c r="I89" s="5" t="s">
        <v>36</v>
      </c>
      <c r="J89">
        <v>0.5</v>
      </c>
      <c r="K89" s="5"/>
      <c r="L89" t="s">
        <v>79</v>
      </c>
      <c r="M89" s="10">
        <v>44774</v>
      </c>
      <c r="O89">
        <v>1164</v>
      </c>
      <c r="P89" s="6">
        <f>IF(employees_model[[#This Row],[IsActive]]="Yes",1,0)</f>
        <v>1</v>
      </c>
    </row>
    <row r="90" spans="1:16" x14ac:dyDescent="0.75">
      <c r="A90">
        <v>1088</v>
      </c>
      <c r="B90" s="5" t="s">
        <v>11</v>
      </c>
      <c r="C90" s="5" t="s">
        <v>12</v>
      </c>
      <c r="D90" s="5" t="s">
        <v>13</v>
      </c>
      <c r="E90" s="5" t="s">
        <v>65</v>
      </c>
      <c r="F90" s="5" t="s">
        <v>15</v>
      </c>
      <c r="G90" s="2">
        <v>44775</v>
      </c>
      <c r="H90" s="2">
        <v>44835</v>
      </c>
      <c r="I90" s="5" t="s">
        <v>36</v>
      </c>
      <c r="J90">
        <v>0.4</v>
      </c>
      <c r="K90" s="5" t="s">
        <v>22</v>
      </c>
      <c r="L90" t="s">
        <v>78</v>
      </c>
      <c r="M90" s="10">
        <v>44774</v>
      </c>
      <c r="N90" s="10">
        <v>44835</v>
      </c>
      <c r="O90">
        <v>60</v>
      </c>
      <c r="P90" s="6">
        <f>IF(employees_model[[#This Row],[IsActive]]="Yes",1,0)</f>
        <v>0</v>
      </c>
    </row>
    <row r="91" spans="1:16" x14ac:dyDescent="0.75">
      <c r="A91">
        <v>1089</v>
      </c>
      <c r="B91" s="5" t="s">
        <v>47</v>
      </c>
      <c r="C91" s="5" t="s">
        <v>54</v>
      </c>
      <c r="D91" s="5" t="s">
        <v>30</v>
      </c>
      <c r="E91" s="5" t="s">
        <v>64</v>
      </c>
      <c r="F91" s="5" t="s">
        <v>27</v>
      </c>
      <c r="G91" s="2">
        <v>44963</v>
      </c>
      <c r="H91" s="2">
        <v>45095</v>
      </c>
      <c r="I91" s="5" t="s">
        <v>38</v>
      </c>
      <c r="J91">
        <v>0.2</v>
      </c>
      <c r="K91" s="5" t="s">
        <v>17</v>
      </c>
      <c r="L91" t="s">
        <v>78</v>
      </c>
      <c r="M91" s="10">
        <v>44958</v>
      </c>
      <c r="N91" s="10">
        <v>45078</v>
      </c>
      <c r="O91">
        <v>132</v>
      </c>
      <c r="P91" s="6">
        <f>IF(employees_model[[#This Row],[IsActive]]="Yes",1,0)</f>
        <v>0</v>
      </c>
    </row>
    <row r="92" spans="1:16" x14ac:dyDescent="0.75">
      <c r="A92">
        <v>1090</v>
      </c>
      <c r="B92" s="5" t="s">
        <v>58</v>
      </c>
      <c r="C92" s="5" t="s">
        <v>33</v>
      </c>
      <c r="D92" s="5" t="s">
        <v>25</v>
      </c>
      <c r="E92" s="5" t="s">
        <v>73</v>
      </c>
      <c r="F92" s="5" t="s">
        <v>15</v>
      </c>
      <c r="G92" s="2">
        <v>45397</v>
      </c>
      <c r="H92" s="2"/>
      <c r="I92" s="5" t="s">
        <v>36</v>
      </c>
      <c r="J92">
        <v>0.5</v>
      </c>
      <c r="K92" s="5"/>
      <c r="L92" t="s">
        <v>79</v>
      </c>
      <c r="M92" s="10">
        <v>45383</v>
      </c>
      <c r="O92">
        <v>565</v>
      </c>
      <c r="P92" s="6">
        <f>IF(employees_model[[#This Row],[IsActive]]="Yes",1,0)</f>
        <v>1</v>
      </c>
    </row>
    <row r="93" spans="1:16" x14ac:dyDescent="0.75">
      <c r="A93">
        <v>1091</v>
      </c>
      <c r="B93" s="5" t="s">
        <v>44</v>
      </c>
      <c r="C93" s="5" t="s">
        <v>32</v>
      </c>
      <c r="D93" s="5" t="s">
        <v>13</v>
      </c>
      <c r="E93" s="5" t="s">
        <v>53</v>
      </c>
      <c r="F93" s="5" t="s">
        <v>27</v>
      </c>
      <c r="G93" s="2">
        <v>44567</v>
      </c>
      <c r="H93" s="2"/>
      <c r="I93" s="5" t="s">
        <v>38</v>
      </c>
      <c r="J93">
        <v>0.3</v>
      </c>
      <c r="K93" s="5"/>
      <c r="L93" t="s">
        <v>79</v>
      </c>
      <c r="M93" s="10">
        <v>44562</v>
      </c>
      <c r="O93">
        <v>1395</v>
      </c>
      <c r="P93" s="6">
        <f>IF(employees_model[[#This Row],[IsActive]]="Yes",1,0)</f>
        <v>1</v>
      </c>
    </row>
    <row r="94" spans="1:16" x14ac:dyDescent="0.75">
      <c r="A94">
        <v>1092</v>
      </c>
      <c r="B94" s="5" t="s">
        <v>23</v>
      </c>
      <c r="C94" s="5" t="s">
        <v>69</v>
      </c>
      <c r="D94" s="5" t="s">
        <v>41</v>
      </c>
      <c r="E94" s="5" t="s">
        <v>42</v>
      </c>
      <c r="F94" s="5" t="s">
        <v>27</v>
      </c>
      <c r="G94" s="2">
        <v>45204</v>
      </c>
      <c r="H94" s="2"/>
      <c r="I94" s="5" t="s">
        <v>36</v>
      </c>
      <c r="J94">
        <v>0.4</v>
      </c>
      <c r="K94" s="5"/>
      <c r="L94" t="s">
        <v>79</v>
      </c>
      <c r="M94" s="10">
        <v>45200</v>
      </c>
      <c r="O94">
        <v>758</v>
      </c>
      <c r="P94" s="6">
        <f>IF(employees_model[[#This Row],[IsActive]]="Yes",1,0)</f>
        <v>1</v>
      </c>
    </row>
    <row r="95" spans="1:16" x14ac:dyDescent="0.75">
      <c r="A95">
        <v>1093</v>
      </c>
      <c r="B95" s="5" t="s">
        <v>18</v>
      </c>
      <c r="C95" s="5" t="s">
        <v>24</v>
      </c>
      <c r="D95" s="5" t="s">
        <v>20</v>
      </c>
      <c r="E95" s="5" t="s">
        <v>34</v>
      </c>
      <c r="F95" s="5" t="s">
        <v>43</v>
      </c>
      <c r="G95" s="2">
        <v>45217</v>
      </c>
      <c r="H95" s="2"/>
      <c r="I95" s="5" t="s">
        <v>36</v>
      </c>
      <c r="J95">
        <v>0.5</v>
      </c>
      <c r="K95" s="5"/>
      <c r="L95" t="s">
        <v>79</v>
      </c>
      <c r="M95" s="10">
        <v>45200</v>
      </c>
      <c r="O95">
        <v>745</v>
      </c>
      <c r="P95" s="6">
        <f>IF(employees_model[[#This Row],[IsActive]]="Yes",1,0)</f>
        <v>1</v>
      </c>
    </row>
    <row r="96" spans="1:16" x14ac:dyDescent="0.75">
      <c r="A96">
        <v>1094</v>
      </c>
      <c r="B96" s="5" t="s">
        <v>44</v>
      </c>
      <c r="C96" s="5" t="s">
        <v>29</v>
      </c>
      <c r="D96" s="5" t="s">
        <v>30</v>
      </c>
      <c r="E96" s="5" t="s">
        <v>51</v>
      </c>
      <c r="F96" s="5" t="s">
        <v>35</v>
      </c>
      <c r="G96" s="2">
        <v>44811</v>
      </c>
      <c r="H96" s="2">
        <v>45922</v>
      </c>
      <c r="I96" s="5" t="s">
        <v>36</v>
      </c>
      <c r="J96">
        <v>0.5</v>
      </c>
      <c r="K96" s="5" t="s">
        <v>17</v>
      </c>
      <c r="L96" t="s">
        <v>78</v>
      </c>
      <c r="M96" s="10">
        <v>44805</v>
      </c>
      <c r="N96" s="10">
        <v>45901</v>
      </c>
      <c r="O96">
        <v>1111</v>
      </c>
      <c r="P96" s="6">
        <f>IF(employees_model[[#This Row],[IsActive]]="Yes",1,0)</f>
        <v>0</v>
      </c>
    </row>
    <row r="97" spans="1:16" x14ac:dyDescent="0.75">
      <c r="A97">
        <v>1095</v>
      </c>
      <c r="B97" s="5" t="s">
        <v>71</v>
      </c>
      <c r="C97" s="5" t="s">
        <v>45</v>
      </c>
      <c r="D97" s="5" t="s">
        <v>25</v>
      </c>
      <c r="E97" s="5" t="s">
        <v>67</v>
      </c>
      <c r="F97" s="5" t="s">
        <v>15</v>
      </c>
      <c r="G97" s="2">
        <v>45030</v>
      </c>
      <c r="H97" s="2"/>
      <c r="I97" s="5" t="s">
        <v>16</v>
      </c>
      <c r="J97">
        <v>0.9</v>
      </c>
      <c r="K97" s="5"/>
      <c r="L97" t="s">
        <v>79</v>
      </c>
      <c r="M97" s="10">
        <v>45017</v>
      </c>
      <c r="O97">
        <v>932</v>
      </c>
      <c r="P97" s="6">
        <f>IF(employees_model[[#This Row],[IsActive]]="Yes",1,0)</f>
        <v>1</v>
      </c>
    </row>
    <row r="98" spans="1:16" x14ac:dyDescent="0.75">
      <c r="A98">
        <v>1096</v>
      </c>
      <c r="B98" s="5" t="s">
        <v>44</v>
      </c>
      <c r="C98" s="5" t="s">
        <v>63</v>
      </c>
      <c r="D98" s="5" t="s">
        <v>13</v>
      </c>
      <c r="E98" s="5" t="s">
        <v>53</v>
      </c>
      <c r="F98" s="5" t="s">
        <v>43</v>
      </c>
      <c r="G98" s="2">
        <v>44916</v>
      </c>
      <c r="H98" s="2"/>
      <c r="I98" s="5" t="s">
        <v>38</v>
      </c>
      <c r="J98">
        <v>0.1</v>
      </c>
      <c r="K98" s="5"/>
      <c r="L98" t="s">
        <v>79</v>
      </c>
      <c r="M98" s="10">
        <v>44896</v>
      </c>
      <c r="O98">
        <v>1046</v>
      </c>
      <c r="P98" s="6">
        <f>IF(employees_model[[#This Row],[IsActive]]="Yes",1,0)</f>
        <v>1</v>
      </c>
    </row>
    <row r="99" spans="1:16" x14ac:dyDescent="0.75">
      <c r="A99">
        <v>1097</v>
      </c>
      <c r="B99" s="5" t="s">
        <v>71</v>
      </c>
      <c r="C99" s="5" t="s">
        <v>63</v>
      </c>
      <c r="D99" s="5" t="s">
        <v>30</v>
      </c>
      <c r="E99" s="5" t="s">
        <v>64</v>
      </c>
      <c r="F99" s="5" t="s">
        <v>15</v>
      </c>
      <c r="G99" s="2">
        <v>45895</v>
      </c>
      <c r="H99" s="2"/>
      <c r="I99" s="5" t="s">
        <v>36</v>
      </c>
      <c r="J99">
        <v>0.6</v>
      </c>
      <c r="K99" s="5"/>
      <c r="L99" t="s">
        <v>79</v>
      </c>
      <c r="M99" s="10">
        <v>45870</v>
      </c>
      <c r="O99">
        <v>67</v>
      </c>
      <c r="P99" s="6">
        <f>IF(employees_model[[#This Row],[IsActive]]="Yes",1,0)</f>
        <v>1</v>
      </c>
    </row>
    <row r="100" spans="1:16" x14ac:dyDescent="0.75">
      <c r="A100">
        <v>1098</v>
      </c>
      <c r="B100" s="5" t="s">
        <v>39</v>
      </c>
      <c r="C100" s="5" t="s">
        <v>33</v>
      </c>
      <c r="D100" s="5" t="s">
        <v>41</v>
      </c>
      <c r="E100" s="5" t="s">
        <v>55</v>
      </c>
      <c r="F100" s="5" t="s">
        <v>43</v>
      </c>
      <c r="G100" s="2">
        <v>45030</v>
      </c>
      <c r="H100" s="2"/>
      <c r="I100" s="5" t="s">
        <v>36</v>
      </c>
      <c r="J100">
        <v>0.7</v>
      </c>
      <c r="K100" s="5"/>
      <c r="L100" t="s">
        <v>79</v>
      </c>
      <c r="M100" s="10">
        <v>45017</v>
      </c>
      <c r="O100">
        <v>932</v>
      </c>
      <c r="P100" s="6">
        <f>IF(employees_model[[#This Row],[IsActive]]="Yes",1,0)</f>
        <v>1</v>
      </c>
    </row>
    <row r="101" spans="1:16" x14ac:dyDescent="0.75">
      <c r="A101">
        <v>1099</v>
      </c>
      <c r="B101" s="5" t="s">
        <v>23</v>
      </c>
      <c r="C101" s="5" t="s">
        <v>32</v>
      </c>
      <c r="D101" s="5" t="s">
        <v>20</v>
      </c>
      <c r="E101" s="5" t="s">
        <v>40</v>
      </c>
      <c r="F101" s="5" t="s">
        <v>43</v>
      </c>
      <c r="G101" s="2">
        <v>45600</v>
      </c>
      <c r="H101" s="2"/>
      <c r="I101" s="5" t="s">
        <v>38</v>
      </c>
      <c r="J101">
        <v>0.1</v>
      </c>
      <c r="K101" s="5"/>
      <c r="L101" t="s">
        <v>79</v>
      </c>
      <c r="M101" s="10">
        <v>45597</v>
      </c>
      <c r="O101">
        <v>362</v>
      </c>
      <c r="P101" s="6">
        <f>IF(employees_model[[#This Row],[IsActive]]="Yes",1,0)</f>
        <v>1</v>
      </c>
    </row>
    <row r="102" spans="1:16" x14ac:dyDescent="0.75">
      <c r="B102" s="5"/>
      <c r="C102" s="5"/>
      <c r="D102" s="5"/>
      <c r="E102" s="5"/>
      <c r="F102" s="5"/>
      <c r="G102" s="2"/>
      <c r="H102" s="2"/>
      <c r="I102" s="5"/>
      <c r="K102" s="5"/>
      <c r="M102" s="2"/>
      <c r="P102" s="6" t="str">
        <f>"active = " &amp; SUM(employees_model[HeadCountFlag])</f>
        <v>active = 67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8C81-510F-4D54-8909-7454F571BBFD}">
  <dimension ref="A1:K101"/>
  <sheetViews>
    <sheetView workbookViewId="0">
      <selection activeCell="L1" sqref="L1"/>
    </sheetView>
  </sheetViews>
  <sheetFormatPr defaultRowHeight="14.75" x14ac:dyDescent="0.75"/>
  <cols>
    <col min="1" max="1" width="12.54296875" customWidth="1"/>
    <col min="2" max="2" width="11.08984375" customWidth="1"/>
    <col min="3" max="3" width="10.86328125" customWidth="1"/>
    <col min="4" max="4" width="15.54296875" bestFit="1" customWidth="1"/>
    <col min="5" max="5" width="23" bestFit="1" customWidth="1"/>
    <col min="6" max="6" width="12.453125" bestFit="1" customWidth="1"/>
    <col min="7" max="7" width="9.953125" style="4" customWidth="1"/>
    <col min="8" max="8" width="10.6328125" style="4" customWidth="1"/>
    <col min="9" max="9" width="16.86328125" customWidth="1"/>
    <col min="10" max="10" width="5.453125" customWidth="1"/>
    <col min="11" max="11" width="18.6328125" customWidth="1"/>
  </cols>
  <sheetData>
    <row r="1" spans="1:11" x14ac:dyDescent="0.75">
      <c r="A1" s="1" t="s">
        <v>0</v>
      </c>
      <c r="B1" s="1" t="s">
        <v>1</v>
      </c>
      <c r="C1" s="1" t="s">
        <v>2</v>
      </c>
      <c r="D1" s="1" t="s">
        <v>3</v>
      </c>
      <c r="E1" s="1" t="s">
        <v>4</v>
      </c>
      <c r="F1" s="1" t="s">
        <v>5</v>
      </c>
      <c r="G1" s="3" t="s">
        <v>6</v>
      </c>
      <c r="H1" s="3" t="s">
        <v>7</v>
      </c>
      <c r="I1" s="1" t="s">
        <v>8</v>
      </c>
      <c r="J1" s="1" t="s">
        <v>9</v>
      </c>
      <c r="K1" s="1" t="s">
        <v>10</v>
      </c>
    </row>
    <row r="2" spans="1:11" x14ac:dyDescent="0.75">
      <c r="A2">
        <v>1000</v>
      </c>
      <c r="B2" t="s">
        <v>11</v>
      </c>
      <c r="C2" t="s">
        <v>12</v>
      </c>
      <c r="D2" t="s">
        <v>13</v>
      </c>
      <c r="E2" t="s">
        <v>14</v>
      </c>
      <c r="F2" t="s">
        <v>15</v>
      </c>
      <c r="G2" s="4">
        <v>45623</v>
      </c>
      <c r="H2" s="4">
        <v>45822</v>
      </c>
      <c r="I2" t="s">
        <v>16</v>
      </c>
      <c r="J2">
        <v>1</v>
      </c>
      <c r="K2" t="s">
        <v>17</v>
      </c>
    </row>
    <row r="3" spans="1:11" x14ac:dyDescent="0.75">
      <c r="A3">
        <v>1001</v>
      </c>
      <c r="B3" t="s">
        <v>18</v>
      </c>
      <c r="C3" t="s">
        <v>19</v>
      </c>
      <c r="D3" t="s">
        <v>20</v>
      </c>
      <c r="E3" t="s">
        <v>21</v>
      </c>
      <c r="F3" t="s">
        <v>15</v>
      </c>
      <c r="G3" s="4">
        <v>45363</v>
      </c>
      <c r="H3" s="4">
        <v>45445</v>
      </c>
      <c r="I3" t="s">
        <v>16</v>
      </c>
      <c r="J3">
        <v>1</v>
      </c>
      <c r="K3" t="s">
        <v>22</v>
      </c>
    </row>
    <row r="4" spans="1:11" x14ac:dyDescent="0.75">
      <c r="A4">
        <v>1002</v>
      </c>
      <c r="B4" t="s">
        <v>23</v>
      </c>
      <c r="C4" t="s">
        <v>24</v>
      </c>
      <c r="D4" t="s">
        <v>25</v>
      </c>
      <c r="E4" t="s">
        <v>26</v>
      </c>
      <c r="F4" t="s">
        <v>27</v>
      </c>
      <c r="G4" s="4">
        <v>45771</v>
      </c>
      <c r="I4" t="s">
        <v>16</v>
      </c>
      <c r="J4">
        <v>1</v>
      </c>
    </row>
    <row r="5" spans="1:11" x14ac:dyDescent="0.75">
      <c r="A5">
        <v>1003</v>
      </c>
      <c r="B5" t="s">
        <v>28</v>
      </c>
      <c r="C5" t="s">
        <v>29</v>
      </c>
      <c r="D5" t="s">
        <v>30</v>
      </c>
      <c r="E5" t="s">
        <v>31</v>
      </c>
      <c r="F5" t="s">
        <v>27</v>
      </c>
      <c r="G5" s="4">
        <v>44566</v>
      </c>
      <c r="H5" s="4">
        <v>45732</v>
      </c>
      <c r="I5" t="s">
        <v>16</v>
      </c>
      <c r="J5">
        <v>1</v>
      </c>
      <c r="K5" t="s">
        <v>22</v>
      </c>
    </row>
    <row r="6" spans="1:11" x14ac:dyDescent="0.75">
      <c r="A6">
        <v>1004</v>
      </c>
      <c r="B6" t="s">
        <v>23</v>
      </c>
      <c r="C6" t="s">
        <v>32</v>
      </c>
      <c r="D6" t="s">
        <v>25</v>
      </c>
      <c r="E6" t="s">
        <v>26</v>
      </c>
      <c r="F6" t="s">
        <v>15</v>
      </c>
      <c r="G6" s="4">
        <v>44569</v>
      </c>
      <c r="I6" t="s">
        <v>16</v>
      </c>
      <c r="J6">
        <v>0.9</v>
      </c>
    </row>
    <row r="7" spans="1:11" x14ac:dyDescent="0.75">
      <c r="A7">
        <v>1005</v>
      </c>
      <c r="B7" t="s">
        <v>28</v>
      </c>
      <c r="C7" t="s">
        <v>33</v>
      </c>
      <c r="D7" t="s">
        <v>20</v>
      </c>
      <c r="E7" t="s">
        <v>34</v>
      </c>
      <c r="F7" t="s">
        <v>35</v>
      </c>
      <c r="G7" s="4">
        <v>45757</v>
      </c>
      <c r="I7" t="s">
        <v>36</v>
      </c>
      <c r="J7">
        <v>0.7</v>
      </c>
    </row>
    <row r="8" spans="1:11" x14ac:dyDescent="0.75">
      <c r="A8">
        <v>1006</v>
      </c>
      <c r="B8" t="s">
        <v>37</v>
      </c>
      <c r="C8" t="s">
        <v>24</v>
      </c>
      <c r="D8" t="s">
        <v>20</v>
      </c>
      <c r="E8" t="s">
        <v>34</v>
      </c>
      <c r="F8" t="s">
        <v>15</v>
      </c>
      <c r="G8" s="4">
        <v>45486</v>
      </c>
      <c r="I8" t="s">
        <v>38</v>
      </c>
      <c r="J8">
        <v>0.2</v>
      </c>
    </row>
    <row r="9" spans="1:11" x14ac:dyDescent="0.75">
      <c r="A9">
        <v>1007</v>
      </c>
      <c r="B9" t="s">
        <v>39</v>
      </c>
      <c r="C9" t="s">
        <v>29</v>
      </c>
      <c r="D9" t="s">
        <v>20</v>
      </c>
      <c r="E9" t="s">
        <v>40</v>
      </c>
      <c r="F9" t="s">
        <v>15</v>
      </c>
      <c r="G9" s="4">
        <v>45509</v>
      </c>
      <c r="I9" t="s">
        <v>38</v>
      </c>
      <c r="J9">
        <v>0.2</v>
      </c>
    </row>
    <row r="10" spans="1:11" x14ac:dyDescent="0.75">
      <c r="A10">
        <v>1008</v>
      </c>
      <c r="B10" t="s">
        <v>37</v>
      </c>
      <c r="C10" t="s">
        <v>19</v>
      </c>
      <c r="D10" t="s">
        <v>41</v>
      </c>
      <c r="E10" t="s">
        <v>42</v>
      </c>
      <c r="F10" t="s">
        <v>43</v>
      </c>
      <c r="G10" s="4">
        <v>45670</v>
      </c>
      <c r="I10" t="s">
        <v>16</v>
      </c>
      <c r="J10">
        <v>0.9</v>
      </c>
    </row>
    <row r="11" spans="1:11" x14ac:dyDescent="0.75">
      <c r="A11">
        <v>1009</v>
      </c>
      <c r="B11" t="s">
        <v>44</v>
      </c>
      <c r="C11" t="s">
        <v>45</v>
      </c>
      <c r="D11" t="s">
        <v>30</v>
      </c>
      <c r="E11" t="s">
        <v>46</v>
      </c>
      <c r="F11" t="s">
        <v>27</v>
      </c>
      <c r="G11" s="4">
        <v>45444</v>
      </c>
      <c r="I11" t="s">
        <v>36</v>
      </c>
      <c r="J11">
        <v>0.7</v>
      </c>
    </row>
    <row r="12" spans="1:11" x14ac:dyDescent="0.75">
      <c r="A12">
        <v>1010</v>
      </c>
      <c r="B12" t="s">
        <v>47</v>
      </c>
      <c r="C12" t="s">
        <v>24</v>
      </c>
      <c r="D12" t="s">
        <v>41</v>
      </c>
      <c r="E12" t="s">
        <v>48</v>
      </c>
      <c r="F12" t="s">
        <v>43</v>
      </c>
      <c r="G12" s="4">
        <v>45213</v>
      </c>
      <c r="H12" s="4">
        <v>45279</v>
      </c>
      <c r="I12" t="s">
        <v>36</v>
      </c>
      <c r="J12">
        <v>0.5</v>
      </c>
      <c r="K12" t="s">
        <v>49</v>
      </c>
    </row>
    <row r="13" spans="1:11" x14ac:dyDescent="0.75">
      <c r="A13">
        <v>1011</v>
      </c>
      <c r="B13" t="s">
        <v>23</v>
      </c>
      <c r="C13" t="s">
        <v>32</v>
      </c>
      <c r="D13" t="s">
        <v>30</v>
      </c>
      <c r="E13" t="s">
        <v>46</v>
      </c>
      <c r="F13" t="s">
        <v>43</v>
      </c>
      <c r="G13" s="4">
        <v>44815</v>
      </c>
      <c r="I13" t="s">
        <v>16</v>
      </c>
      <c r="J13">
        <v>1</v>
      </c>
    </row>
    <row r="14" spans="1:11" x14ac:dyDescent="0.75">
      <c r="A14">
        <v>1012</v>
      </c>
      <c r="B14" t="s">
        <v>50</v>
      </c>
      <c r="C14" t="s">
        <v>12</v>
      </c>
      <c r="D14" t="s">
        <v>30</v>
      </c>
      <c r="E14" t="s">
        <v>51</v>
      </c>
      <c r="F14" t="s">
        <v>35</v>
      </c>
      <c r="G14" s="4">
        <v>44983</v>
      </c>
      <c r="H14" s="4">
        <v>45395</v>
      </c>
      <c r="I14" t="s">
        <v>38</v>
      </c>
      <c r="J14">
        <v>0.1</v>
      </c>
      <c r="K14" t="s">
        <v>17</v>
      </c>
    </row>
    <row r="15" spans="1:11" x14ac:dyDescent="0.75">
      <c r="A15">
        <v>1013</v>
      </c>
      <c r="B15" t="s">
        <v>47</v>
      </c>
      <c r="C15" t="s">
        <v>33</v>
      </c>
      <c r="D15" t="s">
        <v>13</v>
      </c>
      <c r="E15" t="s">
        <v>14</v>
      </c>
      <c r="F15" t="s">
        <v>43</v>
      </c>
      <c r="G15" s="4">
        <v>44581</v>
      </c>
      <c r="H15" s="4">
        <v>44810</v>
      </c>
      <c r="I15" t="s">
        <v>38</v>
      </c>
      <c r="J15">
        <v>0.1</v>
      </c>
      <c r="K15" t="s">
        <v>22</v>
      </c>
    </row>
    <row r="16" spans="1:11" x14ac:dyDescent="0.75">
      <c r="A16">
        <v>1014</v>
      </c>
      <c r="B16" t="s">
        <v>37</v>
      </c>
      <c r="C16" t="s">
        <v>52</v>
      </c>
      <c r="D16" t="s">
        <v>13</v>
      </c>
      <c r="E16" t="s">
        <v>53</v>
      </c>
      <c r="F16" t="s">
        <v>15</v>
      </c>
      <c r="G16" s="4">
        <v>45024</v>
      </c>
      <c r="I16" t="s">
        <v>38</v>
      </c>
      <c r="J16">
        <v>0.2</v>
      </c>
    </row>
    <row r="17" spans="1:11" x14ac:dyDescent="0.75">
      <c r="A17">
        <v>1015</v>
      </c>
      <c r="B17" t="s">
        <v>18</v>
      </c>
      <c r="C17" t="s">
        <v>54</v>
      </c>
      <c r="D17" t="s">
        <v>41</v>
      </c>
      <c r="E17" t="s">
        <v>55</v>
      </c>
      <c r="F17" t="s">
        <v>35</v>
      </c>
      <c r="G17" s="4">
        <v>45232</v>
      </c>
      <c r="I17" t="s">
        <v>38</v>
      </c>
      <c r="J17">
        <v>0.2</v>
      </c>
    </row>
    <row r="18" spans="1:11" x14ac:dyDescent="0.75">
      <c r="A18">
        <v>1016</v>
      </c>
      <c r="B18" t="s">
        <v>56</v>
      </c>
      <c r="C18" t="s">
        <v>57</v>
      </c>
      <c r="D18" t="s">
        <v>20</v>
      </c>
      <c r="E18" t="s">
        <v>21</v>
      </c>
      <c r="F18" t="s">
        <v>27</v>
      </c>
      <c r="G18" s="4">
        <v>45107</v>
      </c>
      <c r="I18" t="s">
        <v>36</v>
      </c>
      <c r="J18">
        <v>0.7</v>
      </c>
    </row>
    <row r="19" spans="1:11" x14ac:dyDescent="0.75">
      <c r="A19">
        <v>1017</v>
      </c>
      <c r="B19" t="s">
        <v>58</v>
      </c>
      <c r="C19" t="s">
        <v>59</v>
      </c>
      <c r="D19" t="s">
        <v>41</v>
      </c>
      <c r="E19" t="s">
        <v>42</v>
      </c>
      <c r="F19" t="s">
        <v>15</v>
      </c>
      <c r="G19" s="4">
        <v>44853</v>
      </c>
      <c r="I19" t="s">
        <v>38</v>
      </c>
      <c r="J19">
        <v>0.3</v>
      </c>
    </row>
    <row r="20" spans="1:11" x14ac:dyDescent="0.75">
      <c r="A20">
        <v>1018</v>
      </c>
      <c r="B20" t="s">
        <v>56</v>
      </c>
      <c r="C20" t="s">
        <v>52</v>
      </c>
      <c r="D20" t="s">
        <v>13</v>
      </c>
      <c r="E20" t="s">
        <v>60</v>
      </c>
      <c r="F20" t="s">
        <v>43</v>
      </c>
      <c r="G20" s="4">
        <v>45144</v>
      </c>
      <c r="H20" s="4">
        <v>45372</v>
      </c>
      <c r="I20" t="s">
        <v>36</v>
      </c>
      <c r="J20">
        <v>0.6</v>
      </c>
      <c r="K20" t="s">
        <v>17</v>
      </c>
    </row>
    <row r="21" spans="1:11" x14ac:dyDescent="0.75">
      <c r="A21">
        <v>1019</v>
      </c>
      <c r="B21" t="s">
        <v>37</v>
      </c>
      <c r="C21" t="s">
        <v>45</v>
      </c>
      <c r="D21" t="s">
        <v>20</v>
      </c>
      <c r="E21" t="s">
        <v>21</v>
      </c>
      <c r="F21" t="s">
        <v>15</v>
      </c>
      <c r="G21" s="4">
        <v>45855</v>
      </c>
      <c r="I21" t="s">
        <v>36</v>
      </c>
      <c r="J21">
        <v>0.5</v>
      </c>
    </row>
    <row r="22" spans="1:11" x14ac:dyDescent="0.75">
      <c r="A22">
        <v>1020</v>
      </c>
      <c r="B22" t="s">
        <v>11</v>
      </c>
      <c r="C22" t="s">
        <v>59</v>
      </c>
      <c r="D22" t="s">
        <v>25</v>
      </c>
      <c r="E22" t="s">
        <v>61</v>
      </c>
      <c r="F22" t="s">
        <v>27</v>
      </c>
      <c r="G22" s="4">
        <v>44829</v>
      </c>
      <c r="I22" t="s">
        <v>38</v>
      </c>
      <c r="J22">
        <v>0.3</v>
      </c>
    </row>
    <row r="23" spans="1:11" x14ac:dyDescent="0.75">
      <c r="A23">
        <v>1021</v>
      </c>
      <c r="B23" t="s">
        <v>37</v>
      </c>
      <c r="C23" t="s">
        <v>24</v>
      </c>
      <c r="D23" t="s">
        <v>20</v>
      </c>
      <c r="E23" t="s">
        <v>34</v>
      </c>
      <c r="F23" t="s">
        <v>35</v>
      </c>
      <c r="G23" s="4">
        <v>45647</v>
      </c>
      <c r="I23" t="s">
        <v>38</v>
      </c>
      <c r="J23">
        <v>0.1</v>
      </c>
    </row>
    <row r="24" spans="1:11" x14ac:dyDescent="0.75">
      <c r="A24">
        <v>1022</v>
      </c>
      <c r="B24" t="s">
        <v>11</v>
      </c>
      <c r="C24" t="s">
        <v>19</v>
      </c>
      <c r="D24" t="s">
        <v>20</v>
      </c>
      <c r="E24" t="s">
        <v>40</v>
      </c>
      <c r="F24" t="s">
        <v>35</v>
      </c>
      <c r="G24" s="4">
        <v>45162</v>
      </c>
      <c r="I24" t="s">
        <v>16</v>
      </c>
      <c r="J24">
        <v>0.8</v>
      </c>
    </row>
    <row r="25" spans="1:11" x14ac:dyDescent="0.75">
      <c r="A25">
        <v>1023</v>
      </c>
      <c r="B25" t="s">
        <v>62</v>
      </c>
      <c r="C25" t="s">
        <v>32</v>
      </c>
      <c r="D25" t="s">
        <v>30</v>
      </c>
      <c r="E25" t="s">
        <v>46</v>
      </c>
      <c r="F25" t="s">
        <v>15</v>
      </c>
      <c r="G25" s="4">
        <v>44993</v>
      </c>
      <c r="H25" s="4">
        <v>45784</v>
      </c>
      <c r="I25" t="s">
        <v>16</v>
      </c>
      <c r="J25">
        <v>1</v>
      </c>
      <c r="K25" t="s">
        <v>49</v>
      </c>
    </row>
    <row r="26" spans="1:11" x14ac:dyDescent="0.75">
      <c r="A26">
        <v>1024</v>
      </c>
      <c r="B26" t="s">
        <v>37</v>
      </c>
      <c r="C26" t="s">
        <v>63</v>
      </c>
      <c r="D26" t="s">
        <v>30</v>
      </c>
      <c r="E26" t="s">
        <v>64</v>
      </c>
      <c r="F26" t="s">
        <v>27</v>
      </c>
      <c r="G26" s="4">
        <v>45590</v>
      </c>
      <c r="H26" s="4">
        <v>45803</v>
      </c>
      <c r="I26" t="s">
        <v>36</v>
      </c>
      <c r="J26">
        <v>0.4</v>
      </c>
      <c r="K26" t="s">
        <v>17</v>
      </c>
    </row>
    <row r="27" spans="1:11" x14ac:dyDescent="0.75">
      <c r="A27">
        <v>1025</v>
      </c>
      <c r="B27" t="s">
        <v>11</v>
      </c>
      <c r="C27" t="s">
        <v>33</v>
      </c>
      <c r="D27" t="s">
        <v>30</v>
      </c>
      <c r="E27" t="s">
        <v>31</v>
      </c>
      <c r="F27" t="s">
        <v>43</v>
      </c>
      <c r="G27" s="4">
        <v>45190</v>
      </c>
      <c r="I27" t="s">
        <v>36</v>
      </c>
      <c r="J27">
        <v>0.5</v>
      </c>
    </row>
    <row r="28" spans="1:11" x14ac:dyDescent="0.75">
      <c r="A28">
        <v>1026</v>
      </c>
      <c r="B28" t="s">
        <v>23</v>
      </c>
      <c r="C28" t="s">
        <v>45</v>
      </c>
      <c r="D28" t="s">
        <v>13</v>
      </c>
      <c r="E28" t="s">
        <v>65</v>
      </c>
      <c r="F28" t="s">
        <v>27</v>
      </c>
      <c r="G28" s="4">
        <v>45240</v>
      </c>
      <c r="I28" t="s">
        <v>38</v>
      </c>
      <c r="J28">
        <v>0.2</v>
      </c>
    </row>
    <row r="29" spans="1:11" x14ac:dyDescent="0.75">
      <c r="A29">
        <v>1027</v>
      </c>
      <c r="B29" t="s">
        <v>37</v>
      </c>
      <c r="C29" t="s">
        <v>66</v>
      </c>
      <c r="D29" t="s">
        <v>25</v>
      </c>
      <c r="E29" t="s">
        <v>67</v>
      </c>
      <c r="F29" t="s">
        <v>27</v>
      </c>
      <c r="G29" s="4">
        <v>44962</v>
      </c>
      <c r="I29" t="s">
        <v>16</v>
      </c>
      <c r="J29">
        <v>0.9</v>
      </c>
    </row>
    <row r="30" spans="1:11" x14ac:dyDescent="0.75">
      <c r="A30">
        <v>1028</v>
      </c>
      <c r="B30" t="s">
        <v>68</v>
      </c>
      <c r="C30" t="s">
        <v>63</v>
      </c>
      <c r="D30" t="s">
        <v>13</v>
      </c>
      <c r="E30" t="s">
        <v>53</v>
      </c>
      <c r="F30" t="s">
        <v>35</v>
      </c>
      <c r="G30" s="4">
        <v>45726</v>
      </c>
      <c r="H30" s="4">
        <v>45806</v>
      </c>
      <c r="I30" t="s">
        <v>16</v>
      </c>
      <c r="J30">
        <v>0.8</v>
      </c>
      <c r="K30" t="s">
        <v>17</v>
      </c>
    </row>
    <row r="31" spans="1:11" x14ac:dyDescent="0.75">
      <c r="A31">
        <v>1029</v>
      </c>
      <c r="B31" t="s">
        <v>62</v>
      </c>
      <c r="C31" t="s">
        <v>45</v>
      </c>
      <c r="D31" t="s">
        <v>25</v>
      </c>
      <c r="E31" t="s">
        <v>26</v>
      </c>
      <c r="F31" t="s">
        <v>35</v>
      </c>
      <c r="G31" s="4">
        <v>44680</v>
      </c>
      <c r="H31" s="4">
        <v>45606</v>
      </c>
      <c r="I31" t="s">
        <v>36</v>
      </c>
      <c r="J31">
        <v>0.7</v>
      </c>
      <c r="K31" t="s">
        <v>17</v>
      </c>
    </row>
    <row r="32" spans="1:11" x14ac:dyDescent="0.75">
      <c r="A32">
        <v>1030</v>
      </c>
      <c r="B32" t="s">
        <v>62</v>
      </c>
      <c r="C32" t="s">
        <v>69</v>
      </c>
      <c r="D32" t="s">
        <v>13</v>
      </c>
      <c r="E32" t="s">
        <v>14</v>
      </c>
      <c r="F32" t="s">
        <v>35</v>
      </c>
      <c r="G32" s="4">
        <v>45343</v>
      </c>
      <c r="I32" t="s">
        <v>16</v>
      </c>
      <c r="J32">
        <v>0.9</v>
      </c>
    </row>
    <row r="33" spans="1:11" x14ac:dyDescent="0.75">
      <c r="A33">
        <v>1031</v>
      </c>
      <c r="B33" t="s">
        <v>39</v>
      </c>
      <c r="C33" t="s">
        <v>32</v>
      </c>
      <c r="D33" t="s">
        <v>20</v>
      </c>
      <c r="E33" t="s">
        <v>21</v>
      </c>
      <c r="F33" t="s">
        <v>27</v>
      </c>
      <c r="G33" s="4">
        <v>45730</v>
      </c>
      <c r="I33" t="s">
        <v>36</v>
      </c>
      <c r="J33">
        <v>0.4</v>
      </c>
    </row>
    <row r="34" spans="1:11" x14ac:dyDescent="0.75">
      <c r="A34">
        <v>1032</v>
      </c>
      <c r="B34" t="s">
        <v>62</v>
      </c>
      <c r="C34" t="s">
        <v>52</v>
      </c>
      <c r="D34" t="s">
        <v>20</v>
      </c>
      <c r="E34" t="s">
        <v>40</v>
      </c>
      <c r="F34" t="s">
        <v>35</v>
      </c>
      <c r="G34" s="4">
        <v>45787</v>
      </c>
      <c r="I34" t="s">
        <v>36</v>
      </c>
      <c r="J34">
        <v>0.7</v>
      </c>
    </row>
    <row r="35" spans="1:11" x14ac:dyDescent="0.75">
      <c r="A35">
        <v>1033</v>
      </c>
      <c r="B35" t="s">
        <v>44</v>
      </c>
      <c r="C35" t="s">
        <v>59</v>
      </c>
      <c r="D35" t="s">
        <v>30</v>
      </c>
      <c r="E35" t="s">
        <v>51</v>
      </c>
      <c r="F35" t="s">
        <v>15</v>
      </c>
      <c r="G35" s="4">
        <v>45333</v>
      </c>
      <c r="H35" s="4">
        <v>45905</v>
      </c>
      <c r="I35" t="s">
        <v>16</v>
      </c>
      <c r="J35">
        <v>0.9</v>
      </c>
      <c r="K35" t="s">
        <v>17</v>
      </c>
    </row>
    <row r="36" spans="1:11" x14ac:dyDescent="0.75">
      <c r="A36">
        <v>1034</v>
      </c>
      <c r="B36" t="s">
        <v>23</v>
      </c>
      <c r="C36" t="s">
        <v>33</v>
      </c>
      <c r="D36" t="s">
        <v>30</v>
      </c>
      <c r="E36" t="s">
        <v>64</v>
      </c>
      <c r="F36" t="s">
        <v>35</v>
      </c>
      <c r="G36" s="4">
        <v>45305</v>
      </c>
      <c r="I36" t="s">
        <v>16</v>
      </c>
      <c r="J36">
        <v>0.9</v>
      </c>
    </row>
    <row r="37" spans="1:11" x14ac:dyDescent="0.75">
      <c r="A37">
        <v>1035</v>
      </c>
      <c r="B37" t="s">
        <v>47</v>
      </c>
      <c r="C37" t="s">
        <v>69</v>
      </c>
      <c r="D37" t="s">
        <v>41</v>
      </c>
      <c r="E37" t="s">
        <v>70</v>
      </c>
      <c r="F37" t="s">
        <v>15</v>
      </c>
      <c r="G37" s="4">
        <v>45687</v>
      </c>
      <c r="I37" t="s">
        <v>38</v>
      </c>
      <c r="J37">
        <v>0.3</v>
      </c>
    </row>
    <row r="38" spans="1:11" x14ac:dyDescent="0.75">
      <c r="A38">
        <v>1036</v>
      </c>
      <c r="B38" t="s">
        <v>28</v>
      </c>
      <c r="C38" t="s">
        <v>69</v>
      </c>
      <c r="D38" t="s">
        <v>20</v>
      </c>
      <c r="E38" t="s">
        <v>21</v>
      </c>
      <c r="F38" t="s">
        <v>15</v>
      </c>
      <c r="G38" s="4">
        <v>45077</v>
      </c>
      <c r="I38" t="s">
        <v>36</v>
      </c>
      <c r="J38">
        <v>0.4</v>
      </c>
    </row>
    <row r="39" spans="1:11" x14ac:dyDescent="0.75">
      <c r="A39">
        <v>1037</v>
      </c>
      <c r="B39" t="s">
        <v>71</v>
      </c>
      <c r="C39" t="s">
        <v>24</v>
      </c>
      <c r="D39" t="s">
        <v>13</v>
      </c>
      <c r="E39" t="s">
        <v>72</v>
      </c>
      <c r="F39" t="s">
        <v>15</v>
      </c>
      <c r="G39" s="4">
        <v>44696</v>
      </c>
      <c r="I39" t="s">
        <v>16</v>
      </c>
      <c r="J39">
        <v>0.8</v>
      </c>
    </row>
    <row r="40" spans="1:11" x14ac:dyDescent="0.75">
      <c r="A40">
        <v>1038</v>
      </c>
      <c r="B40" t="s">
        <v>68</v>
      </c>
      <c r="C40" t="s">
        <v>12</v>
      </c>
      <c r="D40" t="s">
        <v>13</v>
      </c>
      <c r="E40" t="s">
        <v>60</v>
      </c>
      <c r="F40" t="s">
        <v>35</v>
      </c>
      <c r="G40" s="4">
        <v>45412</v>
      </c>
      <c r="I40" t="s">
        <v>38</v>
      </c>
      <c r="J40">
        <v>0.1</v>
      </c>
    </row>
    <row r="41" spans="1:11" x14ac:dyDescent="0.75">
      <c r="A41">
        <v>1039</v>
      </c>
      <c r="B41" t="s">
        <v>50</v>
      </c>
      <c r="C41" t="s">
        <v>32</v>
      </c>
      <c r="D41" t="s">
        <v>20</v>
      </c>
      <c r="E41" t="s">
        <v>34</v>
      </c>
      <c r="F41" t="s">
        <v>15</v>
      </c>
      <c r="G41" s="4">
        <v>45719</v>
      </c>
      <c r="I41" t="s">
        <v>38</v>
      </c>
      <c r="J41">
        <v>0.2</v>
      </c>
    </row>
    <row r="42" spans="1:11" x14ac:dyDescent="0.75">
      <c r="A42">
        <v>1040</v>
      </c>
      <c r="B42" t="s">
        <v>56</v>
      </c>
      <c r="C42" t="s">
        <v>29</v>
      </c>
      <c r="D42" t="s">
        <v>30</v>
      </c>
      <c r="E42" t="s">
        <v>31</v>
      </c>
      <c r="F42" t="s">
        <v>35</v>
      </c>
      <c r="G42" s="4">
        <v>44890</v>
      </c>
      <c r="I42" t="s">
        <v>16</v>
      </c>
      <c r="J42">
        <v>0.8</v>
      </c>
    </row>
    <row r="43" spans="1:11" x14ac:dyDescent="0.75">
      <c r="A43">
        <v>1041</v>
      </c>
      <c r="B43" t="s">
        <v>58</v>
      </c>
      <c r="C43" t="s">
        <v>66</v>
      </c>
      <c r="D43" t="s">
        <v>20</v>
      </c>
      <c r="E43" t="s">
        <v>21</v>
      </c>
      <c r="F43" t="s">
        <v>15</v>
      </c>
      <c r="G43" s="4">
        <v>45290</v>
      </c>
      <c r="I43" t="s">
        <v>36</v>
      </c>
      <c r="J43">
        <v>0.7</v>
      </c>
    </row>
    <row r="44" spans="1:11" x14ac:dyDescent="0.75">
      <c r="A44">
        <v>1042</v>
      </c>
      <c r="B44" t="s">
        <v>47</v>
      </c>
      <c r="C44" t="s">
        <v>29</v>
      </c>
      <c r="D44" t="s">
        <v>20</v>
      </c>
      <c r="E44" t="s">
        <v>34</v>
      </c>
      <c r="F44" t="s">
        <v>43</v>
      </c>
      <c r="G44" s="4">
        <v>45110</v>
      </c>
      <c r="I44" t="s">
        <v>38</v>
      </c>
      <c r="J44">
        <v>0.1</v>
      </c>
    </row>
    <row r="45" spans="1:11" x14ac:dyDescent="0.75">
      <c r="A45">
        <v>1043</v>
      </c>
      <c r="B45" t="s">
        <v>23</v>
      </c>
      <c r="C45" t="s">
        <v>52</v>
      </c>
      <c r="D45" t="s">
        <v>30</v>
      </c>
      <c r="E45" t="s">
        <v>46</v>
      </c>
      <c r="F45" t="s">
        <v>43</v>
      </c>
      <c r="G45" s="4">
        <v>45080</v>
      </c>
      <c r="H45" s="4">
        <v>45154</v>
      </c>
      <c r="I45" t="s">
        <v>16</v>
      </c>
      <c r="J45">
        <v>0.9</v>
      </c>
      <c r="K45" t="s">
        <v>17</v>
      </c>
    </row>
    <row r="46" spans="1:11" x14ac:dyDescent="0.75">
      <c r="A46">
        <v>1044</v>
      </c>
      <c r="B46" t="s">
        <v>28</v>
      </c>
      <c r="C46" t="s">
        <v>24</v>
      </c>
      <c r="D46" t="s">
        <v>25</v>
      </c>
      <c r="E46" t="s">
        <v>67</v>
      </c>
      <c r="F46" t="s">
        <v>15</v>
      </c>
      <c r="G46" s="4">
        <v>45898</v>
      </c>
      <c r="I46" t="s">
        <v>16</v>
      </c>
      <c r="J46">
        <v>0.9</v>
      </c>
    </row>
    <row r="47" spans="1:11" x14ac:dyDescent="0.75">
      <c r="A47">
        <v>1045</v>
      </c>
      <c r="B47" t="s">
        <v>62</v>
      </c>
      <c r="C47" t="s">
        <v>52</v>
      </c>
      <c r="D47" t="s">
        <v>20</v>
      </c>
      <c r="E47" t="s">
        <v>34</v>
      </c>
      <c r="F47" t="s">
        <v>15</v>
      </c>
      <c r="G47" s="4">
        <v>45188</v>
      </c>
      <c r="H47" s="4">
        <v>45385</v>
      </c>
      <c r="I47" t="s">
        <v>36</v>
      </c>
      <c r="J47">
        <v>0.5</v>
      </c>
      <c r="K47" t="s">
        <v>22</v>
      </c>
    </row>
    <row r="48" spans="1:11" x14ac:dyDescent="0.75">
      <c r="A48">
        <v>1046</v>
      </c>
      <c r="B48" t="s">
        <v>56</v>
      </c>
      <c r="C48" t="s">
        <v>29</v>
      </c>
      <c r="D48" t="s">
        <v>20</v>
      </c>
      <c r="E48" t="s">
        <v>21</v>
      </c>
      <c r="F48" t="s">
        <v>27</v>
      </c>
      <c r="G48" s="4">
        <v>45881</v>
      </c>
      <c r="H48" s="4">
        <v>45953</v>
      </c>
      <c r="I48" t="s">
        <v>16</v>
      </c>
      <c r="J48">
        <v>1</v>
      </c>
      <c r="K48" t="s">
        <v>17</v>
      </c>
    </row>
    <row r="49" spans="1:11" x14ac:dyDescent="0.75">
      <c r="A49">
        <v>1047</v>
      </c>
      <c r="B49" t="s">
        <v>39</v>
      </c>
      <c r="C49" t="s">
        <v>63</v>
      </c>
      <c r="D49" t="s">
        <v>20</v>
      </c>
      <c r="E49" t="s">
        <v>40</v>
      </c>
      <c r="F49" t="s">
        <v>15</v>
      </c>
      <c r="G49" s="4">
        <v>45040</v>
      </c>
      <c r="I49" t="s">
        <v>38</v>
      </c>
      <c r="J49">
        <v>0.1</v>
      </c>
    </row>
    <row r="50" spans="1:11" x14ac:dyDescent="0.75">
      <c r="A50">
        <v>1048</v>
      </c>
      <c r="B50" t="s">
        <v>47</v>
      </c>
      <c r="C50" t="s">
        <v>52</v>
      </c>
      <c r="D50" t="s">
        <v>30</v>
      </c>
      <c r="E50" t="s">
        <v>46</v>
      </c>
      <c r="F50" t="s">
        <v>27</v>
      </c>
      <c r="G50" s="4">
        <v>44705</v>
      </c>
      <c r="I50" t="s">
        <v>38</v>
      </c>
      <c r="J50">
        <v>0.1</v>
      </c>
    </row>
    <row r="51" spans="1:11" x14ac:dyDescent="0.75">
      <c r="A51">
        <v>1049</v>
      </c>
      <c r="B51" t="s">
        <v>11</v>
      </c>
      <c r="C51" t="s">
        <v>66</v>
      </c>
      <c r="D51" t="s">
        <v>25</v>
      </c>
      <c r="E51" t="s">
        <v>26</v>
      </c>
      <c r="F51" t="s">
        <v>35</v>
      </c>
      <c r="G51" s="4">
        <v>45899</v>
      </c>
      <c r="H51" s="4">
        <v>45935</v>
      </c>
      <c r="I51" t="s">
        <v>16</v>
      </c>
      <c r="J51">
        <v>1</v>
      </c>
      <c r="K51" t="s">
        <v>17</v>
      </c>
    </row>
    <row r="52" spans="1:11" x14ac:dyDescent="0.75">
      <c r="A52">
        <v>1050</v>
      </c>
      <c r="B52" t="s">
        <v>47</v>
      </c>
      <c r="C52" t="s">
        <v>52</v>
      </c>
      <c r="D52" t="s">
        <v>41</v>
      </c>
      <c r="E52" t="s">
        <v>42</v>
      </c>
      <c r="F52" t="s">
        <v>27</v>
      </c>
      <c r="G52" s="4">
        <v>45773</v>
      </c>
      <c r="I52" t="s">
        <v>38</v>
      </c>
      <c r="J52">
        <v>0.1</v>
      </c>
    </row>
    <row r="53" spans="1:11" x14ac:dyDescent="0.75">
      <c r="A53">
        <v>1051</v>
      </c>
      <c r="B53" t="s">
        <v>56</v>
      </c>
      <c r="C53" t="s">
        <v>66</v>
      </c>
      <c r="D53" t="s">
        <v>25</v>
      </c>
      <c r="E53" t="s">
        <v>67</v>
      </c>
      <c r="F53" t="s">
        <v>27</v>
      </c>
      <c r="G53" s="4">
        <v>45898</v>
      </c>
      <c r="I53" t="s">
        <v>38</v>
      </c>
      <c r="J53">
        <v>0.2</v>
      </c>
    </row>
    <row r="54" spans="1:11" x14ac:dyDescent="0.75">
      <c r="A54">
        <v>1052</v>
      </c>
      <c r="B54" t="s">
        <v>50</v>
      </c>
      <c r="C54" t="s">
        <v>32</v>
      </c>
      <c r="D54" t="s">
        <v>25</v>
      </c>
      <c r="E54" t="s">
        <v>26</v>
      </c>
      <c r="F54" t="s">
        <v>43</v>
      </c>
      <c r="G54" s="4">
        <v>44959</v>
      </c>
      <c r="H54" s="4">
        <v>45207</v>
      </c>
      <c r="I54" t="s">
        <v>36</v>
      </c>
      <c r="J54">
        <v>0.6</v>
      </c>
      <c r="K54" t="s">
        <v>17</v>
      </c>
    </row>
    <row r="55" spans="1:11" x14ac:dyDescent="0.75">
      <c r="A55">
        <v>1053</v>
      </c>
      <c r="B55" t="s">
        <v>37</v>
      </c>
      <c r="C55" t="s">
        <v>54</v>
      </c>
      <c r="D55" t="s">
        <v>13</v>
      </c>
      <c r="E55" t="s">
        <v>14</v>
      </c>
      <c r="F55" t="s">
        <v>27</v>
      </c>
      <c r="G55" s="4">
        <v>45171</v>
      </c>
      <c r="I55" t="s">
        <v>16</v>
      </c>
      <c r="J55">
        <v>0.8</v>
      </c>
    </row>
    <row r="56" spans="1:11" x14ac:dyDescent="0.75">
      <c r="A56">
        <v>1054</v>
      </c>
      <c r="B56" t="s">
        <v>71</v>
      </c>
      <c r="C56" t="s">
        <v>24</v>
      </c>
      <c r="D56" t="s">
        <v>20</v>
      </c>
      <c r="E56" t="s">
        <v>34</v>
      </c>
      <c r="F56" t="s">
        <v>43</v>
      </c>
      <c r="G56" s="4">
        <v>45359</v>
      </c>
      <c r="I56" t="s">
        <v>36</v>
      </c>
      <c r="J56">
        <v>0.7</v>
      </c>
    </row>
    <row r="57" spans="1:11" x14ac:dyDescent="0.75">
      <c r="A57">
        <v>1055</v>
      </c>
      <c r="B57" t="s">
        <v>58</v>
      </c>
      <c r="C57" t="s">
        <v>29</v>
      </c>
      <c r="D57" t="s">
        <v>25</v>
      </c>
      <c r="E57" t="s">
        <v>26</v>
      </c>
      <c r="F57" t="s">
        <v>35</v>
      </c>
      <c r="G57" s="4">
        <v>45636</v>
      </c>
      <c r="H57" s="4">
        <v>45936</v>
      </c>
      <c r="I57" t="s">
        <v>38</v>
      </c>
      <c r="J57">
        <v>0.3</v>
      </c>
      <c r="K57" t="s">
        <v>22</v>
      </c>
    </row>
    <row r="58" spans="1:11" x14ac:dyDescent="0.75">
      <c r="A58">
        <v>1056</v>
      </c>
      <c r="B58" t="s">
        <v>18</v>
      </c>
      <c r="C58" t="s">
        <v>33</v>
      </c>
      <c r="D58" t="s">
        <v>13</v>
      </c>
      <c r="E58" t="s">
        <v>60</v>
      </c>
      <c r="F58" t="s">
        <v>43</v>
      </c>
      <c r="G58" s="4">
        <v>45153</v>
      </c>
      <c r="I58" t="s">
        <v>36</v>
      </c>
      <c r="J58">
        <v>0.7</v>
      </c>
    </row>
    <row r="59" spans="1:11" x14ac:dyDescent="0.75">
      <c r="A59">
        <v>1057</v>
      </c>
      <c r="B59" t="s">
        <v>58</v>
      </c>
      <c r="C59" t="s">
        <v>63</v>
      </c>
      <c r="D59" t="s">
        <v>41</v>
      </c>
      <c r="E59" t="s">
        <v>55</v>
      </c>
      <c r="F59" t="s">
        <v>35</v>
      </c>
      <c r="G59" s="4">
        <v>44740</v>
      </c>
      <c r="H59" s="4">
        <v>45335</v>
      </c>
      <c r="I59" t="s">
        <v>16</v>
      </c>
      <c r="J59">
        <v>1</v>
      </c>
      <c r="K59" t="s">
        <v>22</v>
      </c>
    </row>
    <row r="60" spans="1:11" x14ac:dyDescent="0.75">
      <c r="A60">
        <v>1058</v>
      </c>
      <c r="B60" t="s">
        <v>18</v>
      </c>
      <c r="C60" t="s">
        <v>29</v>
      </c>
      <c r="D60" t="s">
        <v>13</v>
      </c>
      <c r="E60" t="s">
        <v>72</v>
      </c>
      <c r="F60" t="s">
        <v>43</v>
      </c>
      <c r="G60" s="4">
        <v>45102</v>
      </c>
      <c r="I60" t="s">
        <v>38</v>
      </c>
      <c r="J60">
        <v>0.3</v>
      </c>
    </row>
    <row r="61" spans="1:11" x14ac:dyDescent="0.75">
      <c r="A61">
        <v>1059</v>
      </c>
      <c r="B61" t="s">
        <v>11</v>
      </c>
      <c r="C61" t="s">
        <v>54</v>
      </c>
      <c r="D61" t="s">
        <v>30</v>
      </c>
      <c r="E61" t="s">
        <v>64</v>
      </c>
      <c r="F61" t="s">
        <v>35</v>
      </c>
      <c r="G61" s="4">
        <v>44661</v>
      </c>
      <c r="I61" t="s">
        <v>38</v>
      </c>
      <c r="J61">
        <v>0.2</v>
      </c>
    </row>
    <row r="62" spans="1:11" x14ac:dyDescent="0.75">
      <c r="A62">
        <v>1060</v>
      </c>
      <c r="B62" t="s">
        <v>39</v>
      </c>
      <c r="C62" t="s">
        <v>66</v>
      </c>
      <c r="D62" t="s">
        <v>13</v>
      </c>
      <c r="E62" t="s">
        <v>60</v>
      </c>
      <c r="F62" t="s">
        <v>35</v>
      </c>
      <c r="G62" s="4">
        <v>45746</v>
      </c>
      <c r="I62" t="s">
        <v>38</v>
      </c>
      <c r="J62">
        <v>0.2</v>
      </c>
    </row>
    <row r="63" spans="1:11" x14ac:dyDescent="0.75">
      <c r="A63">
        <v>1061</v>
      </c>
      <c r="B63" t="s">
        <v>37</v>
      </c>
      <c r="C63" t="s">
        <v>54</v>
      </c>
      <c r="D63" t="s">
        <v>13</v>
      </c>
      <c r="E63" t="s">
        <v>53</v>
      </c>
      <c r="F63" t="s">
        <v>27</v>
      </c>
      <c r="G63" s="4">
        <v>44805</v>
      </c>
      <c r="H63" s="4">
        <v>45936</v>
      </c>
      <c r="I63" t="s">
        <v>16</v>
      </c>
      <c r="J63">
        <v>0.9</v>
      </c>
      <c r="K63" t="s">
        <v>17</v>
      </c>
    </row>
    <row r="64" spans="1:11" x14ac:dyDescent="0.75">
      <c r="A64">
        <v>1062</v>
      </c>
      <c r="B64" t="s">
        <v>44</v>
      </c>
      <c r="C64" t="s">
        <v>54</v>
      </c>
      <c r="D64" t="s">
        <v>25</v>
      </c>
      <c r="E64" t="s">
        <v>26</v>
      </c>
      <c r="F64" t="s">
        <v>43</v>
      </c>
      <c r="G64" s="4">
        <v>44712</v>
      </c>
      <c r="H64" s="4">
        <v>45578</v>
      </c>
      <c r="I64" t="s">
        <v>16</v>
      </c>
      <c r="J64">
        <v>0.8</v>
      </c>
      <c r="K64" t="s">
        <v>17</v>
      </c>
    </row>
    <row r="65" spans="1:11" x14ac:dyDescent="0.75">
      <c r="A65">
        <v>1063</v>
      </c>
      <c r="B65" t="s">
        <v>44</v>
      </c>
      <c r="C65" t="s">
        <v>19</v>
      </c>
      <c r="D65" t="s">
        <v>20</v>
      </c>
      <c r="E65" t="s">
        <v>21</v>
      </c>
      <c r="F65" t="s">
        <v>15</v>
      </c>
      <c r="G65" s="4">
        <v>45003</v>
      </c>
      <c r="I65" t="s">
        <v>16</v>
      </c>
      <c r="J65">
        <v>0.8</v>
      </c>
    </row>
    <row r="66" spans="1:11" x14ac:dyDescent="0.75">
      <c r="A66">
        <v>1064</v>
      </c>
      <c r="B66" t="s">
        <v>56</v>
      </c>
      <c r="C66" t="s">
        <v>19</v>
      </c>
      <c r="D66" t="s">
        <v>41</v>
      </c>
      <c r="E66" t="s">
        <v>70</v>
      </c>
      <c r="F66" t="s">
        <v>27</v>
      </c>
      <c r="G66" s="4">
        <v>44928</v>
      </c>
      <c r="I66" t="s">
        <v>36</v>
      </c>
      <c r="J66">
        <v>0.7</v>
      </c>
    </row>
    <row r="67" spans="1:11" x14ac:dyDescent="0.75">
      <c r="A67">
        <v>1065</v>
      </c>
      <c r="B67" t="s">
        <v>39</v>
      </c>
      <c r="C67" t="s">
        <v>32</v>
      </c>
      <c r="D67" t="s">
        <v>25</v>
      </c>
      <c r="E67" t="s">
        <v>61</v>
      </c>
      <c r="F67" t="s">
        <v>35</v>
      </c>
      <c r="G67" s="4">
        <v>45398</v>
      </c>
      <c r="I67" t="s">
        <v>16</v>
      </c>
      <c r="J67">
        <v>1</v>
      </c>
    </row>
    <row r="68" spans="1:11" x14ac:dyDescent="0.75">
      <c r="A68">
        <v>1066</v>
      </c>
      <c r="B68" t="s">
        <v>11</v>
      </c>
      <c r="C68" t="s">
        <v>12</v>
      </c>
      <c r="D68" t="s">
        <v>13</v>
      </c>
      <c r="E68" t="s">
        <v>65</v>
      </c>
      <c r="F68" t="s">
        <v>43</v>
      </c>
      <c r="G68" s="4">
        <v>44734</v>
      </c>
      <c r="I68" t="s">
        <v>36</v>
      </c>
      <c r="J68">
        <v>0.5</v>
      </c>
    </row>
    <row r="69" spans="1:11" x14ac:dyDescent="0.75">
      <c r="A69">
        <v>1067</v>
      </c>
      <c r="B69" t="s">
        <v>62</v>
      </c>
      <c r="C69" t="s">
        <v>52</v>
      </c>
      <c r="D69" t="s">
        <v>30</v>
      </c>
      <c r="E69" t="s">
        <v>51</v>
      </c>
      <c r="F69" t="s">
        <v>35</v>
      </c>
      <c r="G69" s="4">
        <v>45112</v>
      </c>
      <c r="H69" s="4">
        <v>45851</v>
      </c>
      <c r="I69" t="s">
        <v>16</v>
      </c>
      <c r="J69">
        <v>0.9</v>
      </c>
      <c r="K69" t="s">
        <v>17</v>
      </c>
    </row>
    <row r="70" spans="1:11" x14ac:dyDescent="0.75">
      <c r="A70">
        <v>1068</v>
      </c>
      <c r="B70" t="s">
        <v>56</v>
      </c>
      <c r="C70" t="s">
        <v>66</v>
      </c>
      <c r="D70" t="s">
        <v>20</v>
      </c>
      <c r="E70" t="s">
        <v>21</v>
      </c>
      <c r="F70" t="s">
        <v>35</v>
      </c>
      <c r="G70" s="4">
        <v>44642</v>
      </c>
      <c r="H70" s="4">
        <v>45951</v>
      </c>
      <c r="I70" t="s">
        <v>16</v>
      </c>
      <c r="J70">
        <v>0.9</v>
      </c>
      <c r="K70" t="s">
        <v>22</v>
      </c>
    </row>
    <row r="71" spans="1:11" x14ac:dyDescent="0.75">
      <c r="A71">
        <v>1069</v>
      </c>
      <c r="B71" t="s">
        <v>23</v>
      </c>
      <c r="C71" t="s">
        <v>66</v>
      </c>
      <c r="D71" t="s">
        <v>20</v>
      </c>
      <c r="E71" t="s">
        <v>40</v>
      </c>
      <c r="F71" t="s">
        <v>15</v>
      </c>
      <c r="G71" s="4">
        <v>45083</v>
      </c>
      <c r="H71" s="4">
        <v>45131</v>
      </c>
      <c r="I71" t="s">
        <v>38</v>
      </c>
      <c r="J71">
        <v>0.2</v>
      </c>
      <c r="K71" t="s">
        <v>17</v>
      </c>
    </row>
    <row r="72" spans="1:11" x14ac:dyDescent="0.75">
      <c r="A72">
        <v>1070</v>
      </c>
      <c r="B72" t="s">
        <v>44</v>
      </c>
      <c r="C72" t="s">
        <v>24</v>
      </c>
      <c r="D72" t="s">
        <v>41</v>
      </c>
      <c r="E72" t="s">
        <v>55</v>
      </c>
      <c r="F72" t="s">
        <v>35</v>
      </c>
      <c r="G72" s="4">
        <v>44627</v>
      </c>
      <c r="H72" s="4">
        <v>45158</v>
      </c>
      <c r="I72" t="s">
        <v>38</v>
      </c>
      <c r="J72">
        <v>0.1</v>
      </c>
      <c r="K72" t="s">
        <v>49</v>
      </c>
    </row>
    <row r="73" spans="1:11" x14ac:dyDescent="0.75">
      <c r="A73">
        <v>1071</v>
      </c>
      <c r="B73" t="s">
        <v>11</v>
      </c>
      <c r="C73" t="s">
        <v>57</v>
      </c>
      <c r="D73" t="s">
        <v>20</v>
      </c>
      <c r="E73" t="s">
        <v>34</v>
      </c>
      <c r="F73" t="s">
        <v>27</v>
      </c>
      <c r="G73" s="4">
        <v>44785</v>
      </c>
      <c r="H73" s="4">
        <v>45950</v>
      </c>
      <c r="I73" t="s">
        <v>36</v>
      </c>
      <c r="J73">
        <v>0.6</v>
      </c>
      <c r="K73" t="s">
        <v>17</v>
      </c>
    </row>
    <row r="74" spans="1:11" x14ac:dyDescent="0.75">
      <c r="A74">
        <v>1072</v>
      </c>
      <c r="B74" t="s">
        <v>50</v>
      </c>
      <c r="C74" t="s">
        <v>69</v>
      </c>
      <c r="D74" t="s">
        <v>30</v>
      </c>
      <c r="E74" t="s">
        <v>51</v>
      </c>
      <c r="F74" t="s">
        <v>43</v>
      </c>
      <c r="G74" s="4">
        <v>45235</v>
      </c>
      <c r="I74" t="s">
        <v>16</v>
      </c>
      <c r="J74">
        <v>0.9</v>
      </c>
    </row>
    <row r="75" spans="1:11" x14ac:dyDescent="0.75">
      <c r="A75">
        <v>1073</v>
      </c>
      <c r="B75" t="s">
        <v>18</v>
      </c>
      <c r="C75" t="s">
        <v>19</v>
      </c>
      <c r="D75" t="s">
        <v>30</v>
      </c>
      <c r="E75" t="s">
        <v>31</v>
      </c>
      <c r="F75" t="s">
        <v>43</v>
      </c>
      <c r="G75" s="4">
        <v>44768</v>
      </c>
      <c r="I75" t="s">
        <v>38</v>
      </c>
      <c r="J75">
        <v>0.3</v>
      </c>
    </row>
    <row r="76" spans="1:11" x14ac:dyDescent="0.75">
      <c r="A76">
        <v>1074</v>
      </c>
      <c r="B76" t="s">
        <v>71</v>
      </c>
      <c r="C76" t="s">
        <v>19</v>
      </c>
      <c r="D76" t="s">
        <v>13</v>
      </c>
      <c r="E76" t="s">
        <v>65</v>
      </c>
      <c r="F76" t="s">
        <v>35</v>
      </c>
      <c r="G76" s="4">
        <v>44821</v>
      </c>
      <c r="I76" t="s">
        <v>36</v>
      </c>
      <c r="J76">
        <v>0.7</v>
      </c>
    </row>
    <row r="77" spans="1:11" x14ac:dyDescent="0.75">
      <c r="A77">
        <v>1075</v>
      </c>
      <c r="B77" t="s">
        <v>62</v>
      </c>
      <c r="C77" t="s">
        <v>33</v>
      </c>
      <c r="D77" t="s">
        <v>30</v>
      </c>
      <c r="E77" t="s">
        <v>64</v>
      </c>
      <c r="F77" t="s">
        <v>35</v>
      </c>
      <c r="G77" s="4">
        <v>45040</v>
      </c>
      <c r="I77" t="s">
        <v>36</v>
      </c>
      <c r="J77">
        <v>0.7</v>
      </c>
    </row>
    <row r="78" spans="1:11" x14ac:dyDescent="0.75">
      <c r="A78">
        <v>1076</v>
      </c>
      <c r="B78" t="s">
        <v>62</v>
      </c>
      <c r="C78" t="s">
        <v>24</v>
      </c>
      <c r="D78" t="s">
        <v>20</v>
      </c>
      <c r="E78" t="s">
        <v>34</v>
      </c>
      <c r="F78" t="s">
        <v>35</v>
      </c>
      <c r="G78" s="4">
        <v>45683</v>
      </c>
      <c r="I78" t="s">
        <v>16</v>
      </c>
      <c r="J78">
        <v>0.8</v>
      </c>
    </row>
    <row r="79" spans="1:11" x14ac:dyDescent="0.75">
      <c r="A79">
        <v>1077</v>
      </c>
      <c r="B79" t="s">
        <v>37</v>
      </c>
      <c r="C79" t="s">
        <v>24</v>
      </c>
      <c r="D79" t="s">
        <v>25</v>
      </c>
      <c r="E79" t="s">
        <v>26</v>
      </c>
      <c r="F79" t="s">
        <v>27</v>
      </c>
      <c r="G79" s="4">
        <v>45206</v>
      </c>
      <c r="H79" s="4">
        <v>45537</v>
      </c>
      <c r="I79" t="s">
        <v>16</v>
      </c>
      <c r="J79">
        <v>1</v>
      </c>
      <c r="K79" t="s">
        <v>17</v>
      </c>
    </row>
    <row r="80" spans="1:11" x14ac:dyDescent="0.75">
      <c r="A80">
        <v>1078</v>
      </c>
      <c r="B80" t="s">
        <v>39</v>
      </c>
      <c r="C80" t="s">
        <v>24</v>
      </c>
      <c r="D80" t="s">
        <v>41</v>
      </c>
      <c r="E80" t="s">
        <v>48</v>
      </c>
      <c r="F80" t="s">
        <v>15</v>
      </c>
      <c r="G80" s="4">
        <v>45708</v>
      </c>
      <c r="I80" t="s">
        <v>16</v>
      </c>
      <c r="J80">
        <v>0.9</v>
      </c>
    </row>
    <row r="81" spans="1:11" x14ac:dyDescent="0.75">
      <c r="A81">
        <v>1079</v>
      </c>
      <c r="B81" t="s">
        <v>44</v>
      </c>
      <c r="C81" t="s">
        <v>66</v>
      </c>
      <c r="D81" t="s">
        <v>30</v>
      </c>
      <c r="E81" t="s">
        <v>31</v>
      </c>
      <c r="F81" t="s">
        <v>35</v>
      </c>
      <c r="G81" s="4">
        <v>45133</v>
      </c>
      <c r="I81" t="s">
        <v>36</v>
      </c>
      <c r="J81">
        <v>0.7</v>
      </c>
    </row>
    <row r="82" spans="1:11" x14ac:dyDescent="0.75">
      <c r="A82">
        <v>1080</v>
      </c>
      <c r="B82" t="s">
        <v>58</v>
      </c>
      <c r="C82" t="s">
        <v>29</v>
      </c>
      <c r="D82" t="s">
        <v>20</v>
      </c>
      <c r="E82" t="s">
        <v>21</v>
      </c>
      <c r="F82" t="s">
        <v>43</v>
      </c>
      <c r="G82" s="4">
        <v>44665</v>
      </c>
      <c r="H82" s="4">
        <v>44992</v>
      </c>
      <c r="I82" t="s">
        <v>16</v>
      </c>
      <c r="J82">
        <v>1</v>
      </c>
      <c r="K82" t="s">
        <v>17</v>
      </c>
    </row>
    <row r="83" spans="1:11" x14ac:dyDescent="0.75">
      <c r="A83">
        <v>1081</v>
      </c>
      <c r="B83" t="s">
        <v>44</v>
      </c>
      <c r="C83" t="s">
        <v>29</v>
      </c>
      <c r="D83" t="s">
        <v>13</v>
      </c>
      <c r="E83" t="s">
        <v>53</v>
      </c>
      <c r="F83" t="s">
        <v>15</v>
      </c>
      <c r="G83" s="4">
        <v>44619</v>
      </c>
      <c r="I83" t="s">
        <v>16</v>
      </c>
      <c r="J83">
        <v>0.9</v>
      </c>
    </row>
    <row r="84" spans="1:11" x14ac:dyDescent="0.75">
      <c r="A84">
        <v>1082</v>
      </c>
      <c r="B84" t="s">
        <v>50</v>
      </c>
      <c r="C84" t="s">
        <v>19</v>
      </c>
      <c r="D84" t="s">
        <v>20</v>
      </c>
      <c r="E84" t="s">
        <v>40</v>
      </c>
      <c r="F84" t="s">
        <v>27</v>
      </c>
      <c r="G84" s="4">
        <v>45155</v>
      </c>
      <c r="H84" s="4">
        <v>45597</v>
      </c>
      <c r="I84" t="s">
        <v>16</v>
      </c>
      <c r="J84">
        <v>0.8</v>
      </c>
      <c r="K84" t="s">
        <v>17</v>
      </c>
    </row>
    <row r="85" spans="1:11" x14ac:dyDescent="0.75">
      <c r="A85">
        <v>1083</v>
      </c>
      <c r="B85" t="s">
        <v>47</v>
      </c>
      <c r="C85" t="s">
        <v>19</v>
      </c>
      <c r="D85" t="s">
        <v>30</v>
      </c>
      <c r="E85" t="s">
        <v>64</v>
      </c>
      <c r="F85" t="s">
        <v>27</v>
      </c>
      <c r="G85" s="4">
        <v>44662</v>
      </c>
      <c r="I85" t="s">
        <v>36</v>
      </c>
      <c r="J85">
        <v>0.7</v>
      </c>
    </row>
    <row r="86" spans="1:11" x14ac:dyDescent="0.75">
      <c r="A86">
        <v>1084</v>
      </c>
      <c r="B86" t="s">
        <v>47</v>
      </c>
      <c r="C86" t="s">
        <v>57</v>
      </c>
      <c r="D86" t="s">
        <v>20</v>
      </c>
      <c r="E86" t="s">
        <v>40</v>
      </c>
      <c r="F86" t="s">
        <v>43</v>
      </c>
      <c r="G86" s="4">
        <v>45157</v>
      </c>
      <c r="I86" t="s">
        <v>38</v>
      </c>
      <c r="J86">
        <v>0.2</v>
      </c>
    </row>
    <row r="87" spans="1:11" x14ac:dyDescent="0.75">
      <c r="A87">
        <v>1085</v>
      </c>
      <c r="B87" t="s">
        <v>11</v>
      </c>
      <c r="C87" t="s">
        <v>66</v>
      </c>
      <c r="D87" t="s">
        <v>20</v>
      </c>
      <c r="E87" t="s">
        <v>40</v>
      </c>
      <c r="F87" t="s">
        <v>43</v>
      </c>
      <c r="G87" s="4">
        <v>45412</v>
      </c>
      <c r="H87" s="4">
        <v>45456</v>
      </c>
      <c r="I87" t="s">
        <v>36</v>
      </c>
      <c r="J87">
        <v>0.5</v>
      </c>
      <c r="K87" t="s">
        <v>17</v>
      </c>
    </row>
    <row r="88" spans="1:11" x14ac:dyDescent="0.75">
      <c r="A88">
        <v>1086</v>
      </c>
      <c r="B88" t="s">
        <v>58</v>
      </c>
      <c r="C88" t="s">
        <v>29</v>
      </c>
      <c r="D88" t="s">
        <v>41</v>
      </c>
      <c r="E88" t="s">
        <v>42</v>
      </c>
      <c r="F88" t="s">
        <v>43</v>
      </c>
      <c r="G88" s="4">
        <v>45658</v>
      </c>
      <c r="I88" t="s">
        <v>36</v>
      </c>
      <c r="J88">
        <v>0.6</v>
      </c>
    </row>
    <row r="89" spans="1:11" x14ac:dyDescent="0.75">
      <c r="A89">
        <v>1087</v>
      </c>
      <c r="B89" t="s">
        <v>37</v>
      </c>
      <c r="C89" t="s">
        <v>66</v>
      </c>
      <c r="D89" t="s">
        <v>20</v>
      </c>
      <c r="E89" t="s">
        <v>40</v>
      </c>
      <c r="F89" t="s">
        <v>35</v>
      </c>
      <c r="G89" s="4">
        <v>44798</v>
      </c>
      <c r="I89" t="s">
        <v>36</v>
      </c>
      <c r="J89">
        <v>0.5</v>
      </c>
    </row>
    <row r="90" spans="1:11" x14ac:dyDescent="0.75">
      <c r="A90">
        <v>1088</v>
      </c>
      <c r="B90" t="s">
        <v>11</v>
      </c>
      <c r="C90" t="s">
        <v>12</v>
      </c>
      <c r="D90" t="s">
        <v>13</v>
      </c>
      <c r="E90" t="s">
        <v>65</v>
      </c>
      <c r="F90" t="s">
        <v>15</v>
      </c>
      <c r="G90" s="4">
        <v>44775</v>
      </c>
      <c r="H90" s="4">
        <v>44835</v>
      </c>
      <c r="I90" t="s">
        <v>36</v>
      </c>
      <c r="J90">
        <v>0.4</v>
      </c>
      <c r="K90" t="s">
        <v>22</v>
      </c>
    </row>
    <row r="91" spans="1:11" x14ac:dyDescent="0.75">
      <c r="A91">
        <v>1089</v>
      </c>
      <c r="B91" t="s">
        <v>47</v>
      </c>
      <c r="C91" t="s">
        <v>54</v>
      </c>
      <c r="D91" t="s">
        <v>30</v>
      </c>
      <c r="E91" t="s">
        <v>64</v>
      </c>
      <c r="F91" t="s">
        <v>27</v>
      </c>
      <c r="G91" s="4">
        <v>44963</v>
      </c>
      <c r="H91" s="4">
        <v>45095</v>
      </c>
      <c r="I91" t="s">
        <v>38</v>
      </c>
      <c r="J91">
        <v>0.2</v>
      </c>
      <c r="K91" t="s">
        <v>17</v>
      </c>
    </row>
    <row r="92" spans="1:11" x14ac:dyDescent="0.75">
      <c r="A92">
        <v>1090</v>
      </c>
      <c r="B92" t="s">
        <v>58</v>
      </c>
      <c r="C92" t="s">
        <v>33</v>
      </c>
      <c r="D92" t="s">
        <v>25</v>
      </c>
      <c r="E92" t="s">
        <v>73</v>
      </c>
      <c r="F92" t="s">
        <v>15</v>
      </c>
      <c r="G92" s="4">
        <v>45397</v>
      </c>
      <c r="I92" t="s">
        <v>36</v>
      </c>
      <c r="J92">
        <v>0.5</v>
      </c>
    </row>
    <row r="93" spans="1:11" x14ac:dyDescent="0.75">
      <c r="A93">
        <v>1091</v>
      </c>
      <c r="B93" t="s">
        <v>44</v>
      </c>
      <c r="C93" t="s">
        <v>32</v>
      </c>
      <c r="D93" t="s">
        <v>13</v>
      </c>
      <c r="E93" t="s">
        <v>53</v>
      </c>
      <c r="F93" t="s">
        <v>27</v>
      </c>
      <c r="G93" s="4">
        <v>44567</v>
      </c>
      <c r="I93" t="s">
        <v>38</v>
      </c>
      <c r="J93">
        <v>0.3</v>
      </c>
    </row>
    <row r="94" spans="1:11" x14ac:dyDescent="0.75">
      <c r="A94">
        <v>1092</v>
      </c>
      <c r="B94" t="s">
        <v>23</v>
      </c>
      <c r="C94" t="s">
        <v>69</v>
      </c>
      <c r="D94" t="s">
        <v>41</v>
      </c>
      <c r="E94" t="s">
        <v>42</v>
      </c>
      <c r="F94" t="s">
        <v>27</v>
      </c>
      <c r="G94" s="4">
        <v>45204</v>
      </c>
      <c r="I94" t="s">
        <v>36</v>
      </c>
      <c r="J94">
        <v>0.4</v>
      </c>
    </row>
    <row r="95" spans="1:11" x14ac:dyDescent="0.75">
      <c r="A95">
        <v>1093</v>
      </c>
      <c r="B95" t="s">
        <v>18</v>
      </c>
      <c r="C95" t="s">
        <v>24</v>
      </c>
      <c r="D95" t="s">
        <v>20</v>
      </c>
      <c r="E95" t="s">
        <v>34</v>
      </c>
      <c r="F95" t="s">
        <v>43</v>
      </c>
      <c r="G95" s="4">
        <v>45217</v>
      </c>
      <c r="I95" t="s">
        <v>36</v>
      </c>
      <c r="J95">
        <v>0.5</v>
      </c>
    </row>
    <row r="96" spans="1:11" x14ac:dyDescent="0.75">
      <c r="A96">
        <v>1094</v>
      </c>
      <c r="B96" t="s">
        <v>44</v>
      </c>
      <c r="C96" t="s">
        <v>29</v>
      </c>
      <c r="D96" t="s">
        <v>30</v>
      </c>
      <c r="E96" t="s">
        <v>51</v>
      </c>
      <c r="F96" t="s">
        <v>35</v>
      </c>
      <c r="G96" s="4">
        <v>44811</v>
      </c>
      <c r="H96" s="4">
        <v>45922</v>
      </c>
      <c r="I96" t="s">
        <v>36</v>
      </c>
      <c r="J96">
        <v>0.5</v>
      </c>
      <c r="K96" t="s">
        <v>17</v>
      </c>
    </row>
    <row r="97" spans="1:10" x14ac:dyDescent="0.75">
      <c r="A97">
        <v>1095</v>
      </c>
      <c r="B97" t="s">
        <v>71</v>
      </c>
      <c r="C97" t="s">
        <v>45</v>
      </c>
      <c r="D97" t="s">
        <v>25</v>
      </c>
      <c r="E97" t="s">
        <v>67</v>
      </c>
      <c r="F97" t="s">
        <v>15</v>
      </c>
      <c r="G97" s="4">
        <v>45030</v>
      </c>
      <c r="I97" t="s">
        <v>16</v>
      </c>
      <c r="J97">
        <v>0.9</v>
      </c>
    </row>
    <row r="98" spans="1:10" x14ac:dyDescent="0.75">
      <c r="A98">
        <v>1096</v>
      </c>
      <c r="B98" t="s">
        <v>44</v>
      </c>
      <c r="C98" t="s">
        <v>63</v>
      </c>
      <c r="D98" t="s">
        <v>13</v>
      </c>
      <c r="E98" t="s">
        <v>53</v>
      </c>
      <c r="F98" t="s">
        <v>43</v>
      </c>
      <c r="G98" s="4">
        <v>44916</v>
      </c>
      <c r="I98" t="s">
        <v>38</v>
      </c>
      <c r="J98">
        <v>0.1</v>
      </c>
    </row>
    <row r="99" spans="1:10" x14ac:dyDescent="0.75">
      <c r="A99">
        <v>1097</v>
      </c>
      <c r="B99" t="s">
        <v>71</v>
      </c>
      <c r="C99" t="s">
        <v>63</v>
      </c>
      <c r="D99" t="s">
        <v>30</v>
      </c>
      <c r="E99" t="s">
        <v>64</v>
      </c>
      <c r="F99" t="s">
        <v>15</v>
      </c>
      <c r="G99" s="4">
        <v>45895</v>
      </c>
      <c r="I99" t="s">
        <v>36</v>
      </c>
      <c r="J99">
        <v>0.6</v>
      </c>
    </row>
    <row r="100" spans="1:10" x14ac:dyDescent="0.75">
      <c r="A100">
        <v>1098</v>
      </c>
      <c r="B100" t="s">
        <v>39</v>
      </c>
      <c r="C100" t="s">
        <v>33</v>
      </c>
      <c r="D100" t="s">
        <v>41</v>
      </c>
      <c r="E100" t="s">
        <v>55</v>
      </c>
      <c r="F100" t="s">
        <v>43</v>
      </c>
      <c r="G100" s="4">
        <v>45030</v>
      </c>
      <c r="I100" t="s">
        <v>36</v>
      </c>
      <c r="J100">
        <v>0.7</v>
      </c>
    </row>
    <row r="101" spans="1:10" x14ac:dyDescent="0.75">
      <c r="A101">
        <v>1099</v>
      </c>
      <c r="B101" t="s">
        <v>23</v>
      </c>
      <c r="C101" t="s">
        <v>32</v>
      </c>
      <c r="D101" t="s">
        <v>20</v>
      </c>
      <c r="E101" t="s">
        <v>40</v>
      </c>
      <c r="F101" t="s">
        <v>43</v>
      </c>
      <c r="G101" s="4">
        <v>45600</v>
      </c>
      <c r="I101" t="s">
        <v>38</v>
      </c>
      <c r="J101">
        <v>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F2DD38-5094-4FF9-A470-0197923CDC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Turnover</vt:lpstr>
      <vt:lpstr>Headcount</vt:lpstr>
      <vt:lpstr>Tenure</vt:lpstr>
      <vt:lpstr>employees_model</vt:lpstr>
      <vt:lpstr>employees_raw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Billy</dc:creator>
  <cp:lastModifiedBy>Billy</cp:lastModifiedBy>
  <dcterms:created xsi:type="dcterms:W3CDTF">2025-11-20T19:12:52Z</dcterms:created>
  <dcterms:modified xsi:type="dcterms:W3CDTF">2025-11-21T21:49:07Z</dcterms:modified>
</cp:coreProperties>
</file>